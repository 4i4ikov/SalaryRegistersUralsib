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6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C:\Users\SabirovAZ\Desktop\"/>
    </mc:Choice>
  </mc:AlternateContent>
  <bookViews>
    <workbookView xWindow="480" yWindow="165" windowWidth="11340" windowHeight="8400" tabRatio="878" activeTab="2"/>
  </bookViews>
  <sheets>
    <sheet name="Сотрудники организации" sheetId="17" r:id="rId1"/>
    <sheet name="Справка" sheetId="15" r:id="rId2"/>
    <sheet name="Реквизиты" sheetId="8" r:id="rId3"/>
    <sheet name="Откр карт 05.2017" sheetId="19" r:id="rId4"/>
    <sheet name="Зачисление  2016.10" sheetId="18" r:id="rId5"/>
    <sheet name="Зачисление по карточкам (ФИО)" sheetId="14" r:id="rId6"/>
    <sheet name="Реестр-Распоряжение" sheetId="23" r:id="rId7"/>
    <sheet name="Увольнение" sheetId="20" r:id="rId8"/>
    <sheet name="Печ.форма(Откр)" sheetId="5" state="hidden" r:id="rId9"/>
    <sheet name="Печ.форма(Зачисл)" sheetId="7" state="hidden" r:id="rId10"/>
    <sheet name="Печ.форма(Увольнение)" sheetId="21" state="hidden" r:id="rId11"/>
    <sheet name="System" sheetId="10" state="hidden" r:id="rId12"/>
    <sheet name="Откр карт 05.2017(формат)" sheetId="22" state="hidden" r:id="rId13"/>
  </sheets>
  <functionGroups builtInGroupCount="18"/>
  <definedNames>
    <definedName name="_xlnm._FilterDatabase" localSheetId="11" hidden="1">System!$E$1:$E$10</definedName>
    <definedName name="_xlnm._FilterDatabase" localSheetId="0" hidden="1">'Сотрудники организации'!$B$7:$I$7</definedName>
    <definedName name="filials">System!$G$15:$G$22</definedName>
    <definedName name="sex">System!$B$2:$B$3</definedName>
    <definedName name="type_tel">System!$A$2:$A$4</definedName>
    <definedName name="КодВидаДохода">System!$C$2:$C$5</definedName>
    <definedName name="ФИЛИАЛ_ПАО__БАНК_УРАЛСИБ__В_Г._СТАВРОПОЛЬ">System!$G$15:$G$21</definedName>
  </definedNames>
  <calcPr calcId="152511"/>
</workbook>
</file>

<file path=xl/calcChain.xml><?xml version="1.0" encoding="utf-8"?>
<calcChain xmlns="http://schemas.openxmlformats.org/spreadsheetml/2006/main">
  <c r="C23" i="8" l="1"/>
  <c r="F3" i="22"/>
  <c r="F4" i="22"/>
  <c r="F5" i="22" s="1"/>
  <c r="F6" i="22" s="1"/>
  <c r="F7" i="22" s="1"/>
  <c r="F8" i="22" s="1"/>
  <c r="F9" i="22" s="1"/>
  <c r="F10" i="22" s="1"/>
  <c r="F11" i="22" s="1"/>
  <c r="F12" i="22" s="1"/>
  <c r="F13" i="22" s="1"/>
  <c r="F14" i="22" s="1"/>
  <c r="F15" i="22" s="1"/>
  <c r="F16" i="22" s="1"/>
  <c r="F17" i="22" s="1"/>
  <c r="F18" i="22" s="1"/>
  <c r="F19" i="22" s="1"/>
  <c r="F20" i="22" s="1"/>
  <c r="F21" i="22" s="1"/>
  <c r="F22" i="22" s="1"/>
  <c r="F23" i="22" s="1"/>
  <c r="F24" i="22" s="1"/>
  <c r="F25" i="22" s="1"/>
  <c r="F26" i="22" s="1"/>
  <c r="F27" i="22" s="1"/>
  <c r="F28" i="22" s="1"/>
  <c r="F29" i="22" s="1"/>
  <c r="F30" i="22" s="1"/>
  <c r="F31" i="22" s="1"/>
  <c r="F32" i="22" s="1"/>
  <c r="F33" i="22" s="1"/>
  <c r="F34" i="22" s="1"/>
  <c r="F35" i="22" s="1"/>
  <c r="F36" i="22" s="1"/>
  <c r="F37" i="22" s="1"/>
  <c r="F38" i="22" s="1"/>
  <c r="F39" i="22" s="1"/>
  <c r="F40" i="22" s="1"/>
  <c r="F41" i="22" s="1"/>
  <c r="F42" i="22" s="1"/>
  <c r="F43" i="22" s="1"/>
  <c r="F44" i="22" s="1"/>
  <c r="F45" i="22" s="1"/>
  <c r="F46" i="22" s="1"/>
  <c r="F47" i="22" s="1"/>
</calcChain>
</file>

<file path=xl/comments1.xml><?xml version="1.0" encoding="utf-8"?>
<comments xmlns="http://schemas.openxmlformats.org/spreadsheetml/2006/main">
  <authors>
    <author>Фомин Андрей Евгеньевич</author>
    <author>Сотрудник</author>
  </authors>
  <commentList>
    <comment ref="C4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</t>
        </r>
      </text>
    </comment>
    <comment ref="C5" authorId="0" shapeId="0">
      <text>
        <r>
          <rPr>
            <sz val="9"/>
            <color indexed="81"/>
            <rFont val="Tahoma"/>
            <family val="2"/>
            <charset val="204"/>
          </rPr>
          <t>*Присваивается банком. Пожалуйста, заполните</t>
        </r>
      </text>
    </comment>
    <comment ref="C6" authorId="1" shapeId="0">
      <text>
        <r>
          <rPr>
            <b/>
            <sz val="8"/>
            <color indexed="81"/>
            <rFont val="Tahoma"/>
            <family val="2"/>
            <charset val="204"/>
          </rPr>
          <t>Символ Z - номер счета. 
Пустая ячейка - табельный номер сотрудника</t>
        </r>
      </text>
    </comment>
    <comment ref="C7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 в именительном падеже</t>
        </r>
      </text>
    </comment>
    <comment ref="C8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</t>
        </r>
      </text>
    </comment>
    <comment ref="C9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 в именительном падеже</t>
        </r>
      </text>
    </comment>
    <comment ref="C16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Пожалуйста, заполните. Формат ДД.ММ.ГГГГ
</t>
        </r>
      </text>
    </comment>
    <comment ref="C17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заполните. Формат ММ.ГГГГ</t>
        </r>
      </text>
    </comment>
    <comment ref="C18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Пожалуйста, заполните
</t>
        </r>
      </text>
    </comment>
    <comment ref="C19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Пожалуйста, заполните
</t>
        </r>
      </text>
    </comment>
    <comment ref="C20" authorId="0" shapeId="0">
      <text>
        <r>
          <rPr>
            <sz val="9"/>
            <color indexed="81"/>
            <rFont val="Tahoma"/>
            <family val="2"/>
            <charset val="204"/>
          </rPr>
          <t>Пожалуйста, заполните</t>
        </r>
      </text>
    </comment>
  </commentList>
</comments>
</file>

<file path=xl/comments2.xml><?xml version="1.0" encoding="utf-8"?>
<comments xmlns="http://schemas.openxmlformats.org/spreadsheetml/2006/main">
  <authors>
    <author>Лилия Усманова</author>
  </authors>
  <commentList>
    <comment ref="G7" authorId="0" shapeId="0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  <comment ref="W7" authorId="0" shapeId="0">
      <text>
        <r>
          <rPr>
            <b/>
            <sz val="8"/>
            <color indexed="81"/>
            <rFont val="Tahoma"/>
            <family val="2"/>
            <charset val="204"/>
          </rPr>
          <t>0-женщина
1-мужчина</t>
        </r>
      </text>
    </comment>
    <comment ref="AF7" authorId="0" shapeId="0">
      <text>
        <r>
          <rPr>
            <b/>
            <sz val="8"/>
            <color indexed="81"/>
            <rFont val="Tahoma"/>
            <family val="2"/>
            <charset val="204"/>
          </rPr>
          <t>Нажатие кнопки "Выбрать" вставляет код вида документа в последнюю запись реестра</t>
        </r>
      </text>
    </comment>
  </commentList>
</comments>
</file>

<file path=xl/comments3.xml><?xml version="1.0" encoding="utf-8"?>
<comments xmlns="http://schemas.openxmlformats.org/spreadsheetml/2006/main">
  <authors>
    <author>Сотрудник</author>
    <author>Фомин Андрей Евгеньевич</author>
  </authors>
  <commentList>
    <comment ref="C10" authorId="0" shapeId="0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  <comment ref="E10" authorId="0" shapeId="0">
      <text>
        <r>
          <rPr>
            <sz val="8"/>
            <color indexed="81"/>
            <rFont val="Tahoma"/>
            <family val="2"/>
            <charset val="204"/>
          </rPr>
          <t>Сумма зачисления на счет12 знаков.</t>
        </r>
      </text>
    </comment>
    <comment ref="G10" authorId="1" shapeId="0">
      <text>
        <r>
          <rPr>
            <sz val="9"/>
            <color indexed="81"/>
            <rFont val="Tahoma"/>
            <family val="2"/>
            <charset val="204"/>
          </rPr>
          <t>Указывается Общая сумма удержаний в рамках исполнительного производства, примененных к сумме операции пополнения</t>
        </r>
      </text>
    </comment>
    <comment ref="H10" authorId="1" shapeId="0">
      <text>
        <r>
          <rPr>
            <sz val="9"/>
            <color indexed="81"/>
            <rFont val="Tahoma"/>
            <family val="2"/>
            <charset val="204"/>
          </rPr>
          <t>Указывается  код  вида  дохода  цифрой.           Возможные значения:
"1" - при переводе денежных средств, являющихся заработной платой и (или) иными доходами, в отношении которых статьей 99 Федерального закона N 229-ФЗ установлены ограничения;
"2" - при переводе денежных средств, являющихся доходами, на которые в соответствии со статьей 101 Федерального закона N 229-ФЗ не может быть обращено взыскание, за исключением доходов, указанных в пунктах 1 и 4 части 1 статьи 101 Федерального закона N 229-ФЗ;
"3" - при переводе денежных средств, являющихся видами доходов, на которые в соответствии с пунктами 1 и 4 части 1 статьи 101 Федерального закона N 229-ФЗ не может быть обращено взыскание.</t>
        </r>
      </text>
    </comment>
  </commentList>
</comments>
</file>

<file path=xl/comments4.xml><?xml version="1.0" encoding="utf-8"?>
<comments xmlns="http://schemas.openxmlformats.org/spreadsheetml/2006/main">
  <authors>
    <author>Фомин Андрей Евгеньевич</author>
  </authors>
  <commentList>
    <comment ref="H7" authorId="0" shapeId="0">
      <text>
        <r>
          <rPr>
            <sz val="9"/>
            <color indexed="81"/>
            <rFont val="Tahoma"/>
            <family val="2"/>
            <charset val="204"/>
          </rPr>
          <t>Указывается Общая сумма удержаний в рамках исполнительного производства, примененных к сумме операции пополнения</t>
        </r>
      </text>
    </comment>
    <comment ref="I7" authorId="0" shapeId="0">
      <text>
        <r>
          <rPr>
            <sz val="9"/>
            <color indexed="81"/>
            <rFont val="Tahoma"/>
            <family val="2"/>
            <charset val="204"/>
          </rPr>
          <t>Указывается  код  вида  дохода  цифрой.           Возможные значения:
"1" - при переводе денежных средств, являющихся заработной платой и (или) иными доходами, в отношении которых статьей 99 Федерального закона N 229-ФЗ установлены ограничения;
"2" - при переводе денежных средств, являющихся доходами, на которые в соответствии со статьей 101 Федерального закона N 229-ФЗ не может быть обращено взыскание, за исключением доходов, указанных в пунктах 1 и 4 части 1 статьи 101 Федерального закона N 229-ФЗ;
"3" - при переводе денежных средств, являющихся видами доходов, на которые в соответствии с пунктами 1 и 4 части 1 статьи 101 Федерального закона N 229-ФЗ не может быть обращено взыскание.</t>
        </r>
      </text>
    </comment>
  </commentList>
</comments>
</file>

<file path=xl/comments5.xml><?xml version="1.0" encoding="utf-8"?>
<comments xmlns="http://schemas.openxmlformats.org/spreadsheetml/2006/main">
  <authors>
    <author>Фомин Андрей Евгеньевич</author>
  </authors>
  <commentList>
    <comment ref="H7" authorId="0" shapeId="0">
      <text>
        <r>
          <rPr>
            <sz val="9"/>
            <color indexed="81"/>
            <rFont val="Tahoma"/>
            <family val="2"/>
            <charset val="204"/>
          </rPr>
          <t>Указывается Общая сумма удержаний в рамках исполнительного производства, примененных к сумме операции пополнения</t>
        </r>
      </text>
    </comment>
    <comment ref="I7" authorId="0" shapeId="0">
      <text>
        <r>
          <rPr>
            <sz val="9"/>
            <color indexed="81"/>
            <rFont val="Tahoma"/>
            <family val="2"/>
            <charset val="204"/>
          </rPr>
          <t>Указывается  код  вида  дохода  цифрой.           Возможные значения:
"1" - при переводе денежных средств, являющихся заработной платой и (или) иными доходами, в отношении которых статьей 99 Федерального закона N 229-ФЗ установлены ограничения;
"2" - при переводе денежных средств, являющихся доходами, на которые в соответствии со статьей 101 Федерального закона N 229-ФЗ не может быть обращено взыскание, за исключением доходов, указанных в пунктах 1 и 4 части 1 статьи 101 Федерального закона N 229-ФЗ;
"3" - при переводе денежных средств, являющихся видами доходов, на которые в соответствии с пунктами 1 и 4 части 1 статьи 101 Федерального закона N 229-ФЗ не может быть обращено взыскание.</t>
        </r>
      </text>
    </comment>
  </commentList>
</comments>
</file>

<file path=xl/comments6.xml><?xml version="1.0" encoding="utf-8"?>
<comments xmlns="http://schemas.openxmlformats.org/spreadsheetml/2006/main">
  <authors>
    <author>Сотрудник</author>
  </authors>
  <commentList>
    <comment ref="C10" authorId="0" shapeId="0">
      <text>
        <r>
          <rPr>
            <sz val="8"/>
            <color indexed="81"/>
            <rFont val="Tahoma"/>
            <family val="2"/>
            <charset val="204"/>
          </rPr>
          <t>Если ячейка "Дескриптор содержимого поля "Табельный номер"" пустая, то эта колонка содержит табельные номера сотрудников, если указан символ "Z", то указываются номера счетов. 20 знаков.(Ранее использовался символ U)</t>
        </r>
      </text>
    </comment>
  </commentList>
</comments>
</file>

<file path=xl/sharedStrings.xml><?xml version="1.0" encoding="utf-8"?>
<sst xmlns="http://schemas.openxmlformats.org/spreadsheetml/2006/main" count="526" uniqueCount="224">
  <si>
    <t>№</t>
  </si>
  <si>
    <t>Код организации:</t>
  </si>
  <si>
    <t>Сумма</t>
  </si>
  <si>
    <t>Имя</t>
  </si>
  <si>
    <t>Фамилия</t>
  </si>
  <si>
    <t>Отчество</t>
  </si>
  <si>
    <t>Кем выдан документ</t>
  </si>
  <si>
    <t>Реестр на открытие зарплатных картсчетов</t>
  </si>
  <si>
    <t>Дескриптор содержимого поля "Табельный номер":</t>
  </si>
  <si>
    <t>Таб. номер</t>
  </si>
  <si>
    <t>Вид док-та</t>
  </si>
  <si>
    <t>Серия док-та</t>
  </si>
  <si>
    <t>Номер док-та</t>
  </si>
  <si>
    <t>Пол</t>
  </si>
  <si>
    <t>Реквизиты организации</t>
  </si>
  <si>
    <t>Организация:</t>
  </si>
  <si>
    <t>Руководитель:</t>
  </si>
  <si>
    <t>Должность руководителя:</t>
  </si>
  <si>
    <t>Главный бухгалтер:</t>
  </si>
  <si>
    <t xml:space="preserve"> 1</t>
  </si>
  <si>
    <t>Дата выд. док-та</t>
  </si>
  <si>
    <t>1</t>
  </si>
  <si>
    <t xml:space="preserve">                        директор____________________(Фамилия И.О.)</t>
  </si>
  <si>
    <t xml:space="preserve">                        Главный бухгалтер____________________(Фамилия И.О.)</t>
  </si>
  <si>
    <t>Код подразделения</t>
  </si>
  <si>
    <t>Населенный пункт</t>
  </si>
  <si>
    <t>Район</t>
  </si>
  <si>
    <t>Улица</t>
  </si>
  <si>
    <t>Дом</t>
  </si>
  <si>
    <t>Корпус</t>
  </si>
  <si>
    <t>Квартира</t>
  </si>
  <si>
    <t>Почтовый индекс</t>
  </si>
  <si>
    <t>Дата рождения</t>
  </si>
  <si>
    <t>Место рождения</t>
  </si>
  <si>
    <t>Тип телефона</t>
  </si>
  <si>
    <t>ИНН сотрудника</t>
  </si>
  <si>
    <t>Имя и фамилия на карте</t>
  </si>
  <si>
    <t>Кодовое слово</t>
  </si>
  <si>
    <t>Код подразделения Банка</t>
  </si>
  <si>
    <t>Тип карты</t>
  </si>
  <si>
    <t>Вид документа</t>
  </si>
  <si>
    <t>Серия документа</t>
  </si>
  <si>
    <t>Номер документа</t>
  </si>
  <si>
    <t>Дата выдачи документа</t>
  </si>
  <si>
    <t>мобильный</t>
  </si>
  <si>
    <t>домашний</t>
  </si>
  <si>
    <t>123456</t>
  </si>
  <si>
    <t>Октябрьским РУВД</t>
  </si>
  <si>
    <t>Уфа</t>
  </si>
  <si>
    <t>Район факт проживания</t>
  </si>
  <si>
    <t>Улица факт проживания</t>
  </si>
  <si>
    <t>Дом факт проживания</t>
  </si>
  <si>
    <t>Корпус факт проживания</t>
  </si>
  <si>
    <t>Квартира факт проживания</t>
  </si>
  <si>
    <t xml:space="preserve"> 2</t>
  </si>
  <si>
    <t>Номер счета</t>
  </si>
  <si>
    <t>ФИО</t>
  </si>
  <si>
    <t>1234</t>
  </si>
  <si>
    <t>Зачисление заработной платы по картам МПС</t>
  </si>
  <si>
    <t>Табельный номер</t>
  </si>
  <si>
    <t>Зачисление по карточкам (ФИО)</t>
  </si>
  <si>
    <t>02</t>
  </si>
  <si>
    <t>Регион - код КЛАДР</t>
  </si>
  <si>
    <t>Дополнительный параметр для подключения акций</t>
  </si>
  <si>
    <t>ИП ЧУЧКИН</t>
  </si>
  <si>
    <t>Путь к выгрузке</t>
  </si>
  <si>
    <t>Кликни</t>
  </si>
  <si>
    <t>01.01.1970</t>
  </si>
  <si>
    <t>Код вида выплаты (по умолчанию)</t>
  </si>
  <si>
    <t>Код вида выплаты</t>
  </si>
  <si>
    <t>Наименование вида выплаты</t>
  </si>
  <si>
    <t>Зачисление заработной платы</t>
  </si>
  <si>
    <t>Зачисление пенсионных выплат</t>
  </si>
  <si>
    <t>01</t>
  </si>
  <si>
    <t>03</t>
  </si>
  <si>
    <t>04</t>
  </si>
  <si>
    <t>05</t>
  </si>
  <si>
    <t>Нет</t>
  </si>
  <si>
    <t>Код</t>
  </si>
  <si>
    <t>21</t>
  </si>
  <si>
    <t>Фамилия1</t>
  </si>
  <si>
    <t>Имя1</t>
  </si>
  <si>
    <t>01.01.1999</t>
  </si>
  <si>
    <t>001-002</t>
  </si>
  <si>
    <t>Имя2</t>
  </si>
  <si>
    <t>Отчество2</t>
  </si>
  <si>
    <t>Отчество1</t>
  </si>
  <si>
    <t>01.01.2000</t>
  </si>
  <si>
    <t>123457</t>
  </si>
  <si>
    <t>Фамилия2</t>
  </si>
  <si>
    <t>4</t>
  </si>
  <si>
    <t>Фамилия1 Имя1 Отчество1</t>
  </si>
  <si>
    <t>Номер удостоверения</t>
  </si>
  <si>
    <t>номер счета</t>
  </si>
  <si>
    <t>табельный номер</t>
  </si>
  <si>
    <t>СОТРУДНИКИ ОРГАНИЗАЦИИ</t>
  </si>
  <si>
    <t>Итого:</t>
  </si>
  <si>
    <t>Зачисление стимулирующих выплат</t>
  </si>
  <si>
    <t>Зачисление стипендий</t>
  </si>
  <si>
    <t>СНИЛС</t>
  </si>
  <si>
    <t>Мобильный телефон</t>
  </si>
  <si>
    <t>Дата приема на работу</t>
  </si>
  <si>
    <t>Заработная плата</t>
  </si>
  <si>
    <t>Увольнение</t>
  </si>
  <si>
    <t>Открытие карт МПС 05.2017</t>
  </si>
  <si>
    <t>Реестр на увольнение</t>
  </si>
  <si>
    <t>рабочий</t>
  </si>
  <si>
    <t>Домашний телефон</t>
  </si>
  <si>
    <t>E-mail</t>
  </si>
  <si>
    <t>No</t>
  </si>
  <si>
    <t>Имя прототипа</t>
  </si>
  <si>
    <t>Обязат. поле</t>
  </si>
  <si>
    <t>Длина</t>
  </si>
  <si>
    <t>Начальная позиция в файле</t>
  </si>
  <si>
    <t>Формат</t>
  </si>
  <si>
    <t/>
  </si>
  <si>
    <t>Да</t>
  </si>
  <si>
    <t>dd.mm.yyyy</t>
  </si>
  <si>
    <t>Код подразделения выд.документ</t>
  </si>
  <si>
    <t>Код региона по КЛАДР</t>
  </si>
  <si>
    <t>99999999999</t>
  </si>
  <si>
    <t>0000000000</t>
  </si>
  <si>
    <t>Вид дополнительного документа</t>
  </si>
  <si>
    <t>Серия дополнительного документа</t>
  </si>
  <si>
    <t>Номер дополнительного документа</t>
  </si>
  <si>
    <t>Дата выдачи дополнительного документа</t>
  </si>
  <si>
    <t>Кем выдан дополнительный документ</t>
  </si>
  <si>
    <t>Населенный пункт факт проживания</t>
  </si>
  <si>
    <t>Код региона по КЛАДР (места жительства)</t>
  </si>
  <si>
    <t>Почтовый индекс факт проживания</t>
  </si>
  <si>
    <t>Доп. параметр для подключения акций</t>
  </si>
  <si>
    <t>Кем выдан</t>
  </si>
  <si>
    <t>Пол клиента</t>
  </si>
  <si>
    <t>ИНН Сотрудника</t>
  </si>
  <si>
    <t>Имя на карте</t>
  </si>
  <si>
    <t>Дата трудоустройства</t>
  </si>
  <si>
    <t>Тип поля</t>
  </si>
  <si>
    <t>Строка</t>
  </si>
  <si>
    <t>Дата</t>
  </si>
  <si>
    <t>Особые функции проверки поля</t>
  </si>
  <si>
    <t>CheckSNILS</t>
  </si>
  <si>
    <t>CheckTel</t>
  </si>
  <si>
    <t>Мин.длина</t>
  </si>
  <si>
    <t>CheckTypeDoc</t>
  </si>
  <si>
    <t>Допустимые значения</t>
  </si>
  <si>
    <t>0, 1</t>
  </si>
  <si>
    <t>Доп.условия обязательности поля</t>
  </si>
  <si>
    <t>[5] = "21"</t>
  </si>
  <si>
    <t>[5] &lt;&gt; "21" ИЛИ [31] &lt;&gt; "" ИЛИ [32] &lt;&gt; "" ИЛИ [33] &lt;&gt; "" ИЛИ [34] &lt;&gt; ""</t>
  </si>
  <si>
    <t>[30] = "28" ИЛИ [30] &lt;&gt; "" ИЛИ [32] &lt;&gt; "" ИЛИ [33] &lt;&gt; "" ИЛИ [34] &lt;&gt; ""</t>
  </si>
  <si>
    <t>[30] = "28" ИЛИ [30] &lt;&gt; "" ИЛИ [31] &lt;&gt; "" ИЛИ [33] &lt;&gt; "" ИЛИ [34] &lt;&gt; ""</t>
  </si>
  <si>
    <t>[30] = "28" ИЛИ [30] &lt;&gt; "" ИЛИ [31] &lt;&gt; "" ИЛИ [32] &lt;&gt; "" ИЛИ [34] &lt;&gt; ""</t>
  </si>
  <si>
    <t>[30] = "28" ИЛИ [30] &lt;&gt; "" ИЛИ [31] &lt;&gt; "" ИЛИ [32] &lt;&gt; "" ИЛИ [33] &lt;&gt; ""</t>
  </si>
  <si>
    <t>[30] = "28" И [5] &lt;&gt; "21"</t>
  </si>
  <si>
    <t>[29] = "TFON" ИЛИ [29] = "VLUK"</t>
  </si>
  <si>
    <t>1А</t>
  </si>
  <si>
    <t xml:space="preserve">     директор_____________(Фамилия И.О.)</t>
  </si>
  <si>
    <t xml:space="preserve">     Главный бухгалтер_____________(Фамилия И.О.)</t>
  </si>
  <si>
    <t>1235</t>
  </si>
  <si>
    <t>1236</t>
  </si>
  <si>
    <t>ОКТЯБРЯ</t>
  </si>
  <si>
    <t>5</t>
  </si>
  <si>
    <t>32</t>
  </si>
  <si>
    <t>450000</t>
  </si>
  <si>
    <t>3472820000</t>
  </si>
  <si>
    <t>123456789012</t>
  </si>
  <si>
    <t>Слово</t>
  </si>
  <si>
    <t>test@mail.ru</t>
  </si>
  <si>
    <t>Фамилия2 Имя2 Отчество2</t>
  </si>
  <si>
    <t>24.07.2017</t>
  </si>
  <si>
    <t>2KODZP</t>
  </si>
  <si>
    <t xml:space="preserve">    2KODZP   z</t>
  </si>
  <si>
    <t>11</t>
  </si>
  <si>
    <t>10</t>
  </si>
  <si>
    <t>Зачисление социальных выплат и выплат социального характера</t>
  </si>
  <si>
    <t>Зачисление заработной платы за счет средств бюджетов бюджетной системы РФ</t>
  </si>
  <si>
    <t>10.10.1980</t>
  </si>
  <si>
    <t>ЛЕНИНА</t>
  </si>
  <si>
    <t>15</t>
  </si>
  <si>
    <t xml:space="preserve"> Фамилия1 Имя1 Отчество1 1234 21 1234 123456 01.01.1999 Октябрьским РУВД 001-002 Уфа 02 ОКТЯБРЯ 5 32 01.01.1970 Уфа 1 12345678901 3472820000 9170500505 123456789012 MRPR 9170500505 01.01.2000 20000*</t>
  </si>
  <si>
    <t xml:space="preserve"> Фамилия2 Имя2 Отчество2 1235 21 1236 123457 01.01.1999 Октябрьским РУВД 001-002 Уфа 02 ЛЕНИНА 10 1А 15 450000 10.10.1980 Уфа 0 12345678902 9273003030 Слово MRPR 01.01.2000 20000 test@mail.ru*</t>
  </si>
  <si>
    <t xml:space="preserve">1234                Фамилия1                      Имя1                Отчество1           </t>
  </si>
  <si>
    <t xml:space="preserve">1235                Фамилия2                      Имя2                                    </t>
  </si>
  <si>
    <t>Зачисление компенсационных выплат, командировочных выплат и иных авансовых выплат</t>
  </si>
  <si>
    <t>Зачисление зп за счет средств бюджетов бюджетной системы РФ</t>
  </si>
  <si>
    <t>40817810</t>
  </si>
  <si>
    <t>CheckADR</t>
  </si>
  <si>
    <t>Дата формирования Реестра</t>
  </si>
  <si>
    <t>Период зачисления </t>
  </si>
  <si>
    <t>ИНН Организации</t>
  </si>
  <si>
    <t>ОГРН</t>
  </si>
  <si>
    <t>Счет списания</t>
  </si>
  <si>
    <t>Банк</t>
  </si>
  <si>
    <t>Подразделение Банка</t>
  </si>
  <si>
    <t>БИК</t>
  </si>
  <si>
    <t>Данные для безакцептного зачисления на основании Реестра-Распоряжения</t>
  </si>
  <si>
    <t>ФИЛИАЛ ПАО "БАНК УРАЛСИБ" В Г.УФА</t>
  </si>
  <si>
    <t>048073770</t>
  </si>
  <si>
    <t>ФИЛИАЛ ПАО "БАНК УРАЛСИБ" В Г.САНКТ-ПЕТЕРБУРГ</t>
  </si>
  <si>
    <t>044030706</t>
  </si>
  <si>
    <t>ФИЛИАЛ ПАО "БАНК УРАЛСИБ" В Г. ЕКАТЕРИНБУРГ</t>
  </si>
  <si>
    <t>046577446</t>
  </si>
  <si>
    <t>ФИЛИАЛ ПАО "БАНК УРАЛСИБ" В Г. СТАВРОПОЛЬ</t>
  </si>
  <si>
    <t>040702763</t>
  </si>
  <si>
    <t>ФИЛИАЛ ПАО "БАНК УРАЛСИБ" В Г.НОВОСИБИРСК</t>
  </si>
  <si>
    <t>045004725</t>
  </si>
  <si>
    <t>ФИЛИАЛ "ЮЖНЫЙ" ПАО "БАНК УРАЛСИБ"</t>
  </si>
  <si>
    <t>040349700</t>
  </si>
  <si>
    <t>ПАО "БАНК УРАЛСИБ"</t>
  </si>
  <si>
    <t>044525787</t>
  </si>
  <si>
    <t>24.01.2019</t>
  </si>
  <si>
    <t>Фамилия1            Имя1                Отчество1           40817810                   100.00   01</t>
  </si>
  <si>
    <t>Реестр-Распоряжение на зачисление</t>
  </si>
  <si>
    <t xml:space="preserve">    2KODZP           400.00z</t>
  </si>
  <si>
    <t>Фамилия2            Имя2                Отчество2           40817810                   300.00   03</t>
  </si>
  <si>
    <t>UMPT</t>
  </si>
  <si>
    <t>Выплата за фактически выполненные работы или оказанные услуги по договору ГПХ</t>
  </si>
  <si>
    <t>22</t>
  </si>
  <si>
    <t>Общая Сумма Удержаний</t>
  </si>
  <si>
    <t>Код Вида Дохода</t>
  </si>
  <si>
    <t>Реестр-распоряжение</t>
  </si>
  <si>
    <t>2</t>
  </si>
  <si>
    <t>3</t>
  </si>
  <si>
    <t>Код вида дохода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</si>
</sst>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 Cyr"/>
      <charset val="204"/>
    </font>
    <font>
      <sz val="8"/>
      <name val="Arial Cyr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name val="Courier"/>
      <family val="1"/>
      <charset val="204"/>
    </font>
    <font>
      <sz val="12"/>
      <name val="Courier"/>
      <family val="1"/>
      <charset val="204"/>
    </font>
    <font>
      <sz val="10"/>
      <name val="Book Antiqua"/>
      <family val="1"/>
      <charset val="204"/>
    </font>
    <font>
      <b/>
      <sz val="10"/>
      <name val="Book Antiqua"/>
      <family val="1"/>
      <charset val="204"/>
    </font>
    <font>
      <sz val="10"/>
      <color indexed="56"/>
      <name val="Book Antiqua"/>
      <family val="1"/>
      <charset val="204"/>
    </font>
    <font>
      <b/>
      <sz val="14"/>
      <name val="Book Antiqua"/>
      <family val="1"/>
      <charset val="204"/>
    </font>
    <font>
      <b/>
      <sz val="10"/>
      <name val="Arial Cyr"/>
      <charset val="204"/>
    </font>
    <font>
      <b/>
      <sz val="16"/>
      <name val="Arial Cyr"/>
      <charset val="204"/>
    </font>
    <font>
      <b/>
      <sz val="10"/>
      <name val="Book Antiqua"/>
      <family val="1"/>
      <charset val="204"/>
    </font>
    <font>
      <b/>
      <sz val="12"/>
      <name val="Arial Cyr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i/>
      <sz val="10"/>
      <name val="Arial"/>
      <family val="2"/>
      <charset val="204"/>
    </font>
    <font>
      <b/>
      <sz val="11"/>
      <name val="Arial"/>
      <family val="2"/>
      <charset val="204"/>
    </font>
    <font>
      <b/>
      <sz val="10"/>
      <color rgb="FF000000"/>
      <name val="Book Antiqua"/>
      <family val="1"/>
      <charset val="204"/>
    </font>
    <font>
      <sz val="10"/>
      <color rgb="FF000000"/>
      <name val="Arial Cyr"/>
    </font>
    <font>
      <sz val="10"/>
      <color rgb="FF000000"/>
      <name val="Arial"/>
      <family val="2"/>
      <charset val="204"/>
    </font>
    <font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49" fontId="4" fillId="0" borderId="0" xfId="0" applyNumberFormat="1" applyFont="1" applyFill="1" applyProtection="1">
      <protection locked="0"/>
    </xf>
    <xf numFmtId="49" fontId="4" fillId="0" borderId="0" xfId="0" applyNumberFormat="1" applyFont="1" applyProtection="1">
      <protection locked="0"/>
    </xf>
    <xf numFmtId="49" fontId="5" fillId="0" borderId="0" xfId="0" applyNumberFormat="1" applyFont="1" applyFill="1" applyProtection="1">
      <protection locked="0"/>
    </xf>
    <xf numFmtId="49" fontId="5" fillId="0" borderId="0" xfId="0" applyNumberFormat="1" applyFont="1" applyProtection="1">
      <protection locked="0"/>
    </xf>
    <xf numFmtId="49" fontId="4" fillId="0" borderId="0" xfId="0" applyNumberFormat="1" applyFont="1" applyAlignment="1" applyProtection="1"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  <xf numFmtId="49" fontId="4" fillId="0" borderId="0" xfId="0" applyNumberFormat="1" applyFont="1" applyAlignment="1" applyProtection="1">
      <alignment wrapText="1"/>
      <protection locked="0"/>
    </xf>
    <xf numFmtId="49" fontId="4" fillId="0" borderId="0" xfId="0" applyNumberFormat="1" applyFont="1" applyFill="1" applyAlignment="1" applyProtection="1">
      <protection locked="0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0" borderId="0" xfId="0" applyNumberFormat="1" applyFont="1" applyAlignment="1" applyProtection="1">
      <alignment wrapText="1"/>
      <protection hidden="1"/>
    </xf>
    <xf numFmtId="0" fontId="8" fillId="0" borderId="0" xfId="0" applyFont="1" applyProtection="1">
      <protection hidden="1"/>
    </xf>
    <xf numFmtId="49" fontId="6" fillId="0" borderId="0" xfId="0" applyNumberFormat="1" applyFont="1" applyAlignment="1" applyProtection="1">
      <alignment horizontal="left" vertical="center" wrapText="1"/>
      <protection hidden="1"/>
    </xf>
    <xf numFmtId="49" fontId="7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Fill="1" applyAlignment="1" applyProtection="1">
      <alignment horizontal="left" vertical="center" wrapText="1"/>
      <protection hidden="1"/>
    </xf>
    <xf numFmtId="49" fontId="6" fillId="0" borderId="0" xfId="0" applyNumberFormat="1" applyFont="1" applyAlignment="1" applyProtection="1">
      <alignment horizontal="left" vertical="center" wrapText="1"/>
      <protection locked="0"/>
    </xf>
    <xf numFmtId="49" fontId="9" fillId="0" borderId="0" xfId="0" applyNumberFormat="1" applyFont="1" applyAlignment="1" applyProtection="1">
      <alignment horizontal="center" vertical="center"/>
      <protection hidden="1"/>
    </xf>
    <xf numFmtId="49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0" fontId="7" fillId="0" borderId="0" xfId="0" applyFont="1"/>
    <xf numFmtId="0" fontId="7" fillId="2" borderId="2" xfId="0" applyFont="1" applyFill="1" applyBorder="1"/>
    <xf numFmtId="49" fontId="7" fillId="0" borderId="0" xfId="0" applyNumberFormat="1" applyFont="1" applyAlignment="1" applyProtection="1">
      <alignment horizontal="left" vertical="center" wrapText="1"/>
      <protection hidden="1"/>
    </xf>
    <xf numFmtId="49" fontId="7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7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left" vertical="center" wrapText="1"/>
      <protection hidden="1"/>
    </xf>
    <xf numFmtId="0" fontId="7" fillId="0" borderId="0" xfId="0" applyFont="1" applyFill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49" fontId="7" fillId="0" borderId="0" xfId="0" applyNumberFormat="1" applyFont="1" applyAlignment="1" applyProtection="1">
      <alignment horizontal="left" vertical="center" wrapText="1"/>
      <protection locked="0"/>
    </xf>
    <xf numFmtId="0" fontId="4" fillId="0" borderId="0" xfId="0" applyNumberFormat="1" applyFont="1" applyFill="1" applyAlignment="1" applyProtection="1">
      <alignment horizontal="center"/>
      <protection locked="0"/>
    </xf>
    <xf numFmtId="0" fontId="4" fillId="0" borderId="0" xfId="0" applyNumberFormat="1" applyFont="1" applyFill="1" applyAlignment="1" applyProtection="1">
      <alignment horizontal="center" wrapText="1"/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NumberFormat="1" applyFont="1" applyFill="1" applyAlignment="1" applyProtection="1">
      <alignment wrapText="1"/>
      <protection locked="0"/>
    </xf>
    <xf numFmtId="0" fontId="5" fillId="0" borderId="0" xfId="0" applyNumberFormat="1" applyFont="1" applyProtection="1">
      <protection locked="0"/>
    </xf>
    <xf numFmtId="49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horizontal="left" vertical="center" wrapText="1"/>
      <protection hidden="1"/>
    </xf>
    <xf numFmtId="49" fontId="9" fillId="0" borderId="0" xfId="0" applyNumberFormat="1" applyFont="1" applyFill="1" applyAlignment="1" applyProtection="1">
      <alignment horizontal="left" vertical="center"/>
      <protection hidden="1"/>
    </xf>
    <xf numFmtId="0" fontId="7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NumberFormat="1" applyFont="1" applyAlignment="1" applyProtection="1">
      <alignment horizontal="left" vertical="center" wrapText="1"/>
      <protection locked="0"/>
    </xf>
    <xf numFmtId="0" fontId="0" fillId="0" borderId="0" xfId="0" applyFill="1"/>
    <xf numFmtId="49" fontId="0" fillId="0" borderId="0" xfId="0" applyNumberFormat="1"/>
    <xf numFmtId="0" fontId="11" fillId="0" borderId="0" xfId="0" applyFont="1"/>
    <xf numFmtId="49" fontId="7" fillId="0" borderId="0" xfId="0" applyNumberFormat="1" applyFont="1"/>
    <xf numFmtId="49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0" xfId="0" applyFont="1"/>
    <xf numFmtId="0" fontId="10" fillId="3" borderId="2" xfId="0" applyFont="1" applyFill="1" applyBorder="1" applyAlignment="1">
      <alignment horizontal="center"/>
    </xf>
    <xf numFmtId="49" fontId="10" fillId="3" borderId="2" xfId="0" applyNumberFormat="1" applyFont="1" applyFill="1" applyBorder="1" applyAlignment="1">
      <alignment horizontal="center"/>
    </xf>
    <xf numFmtId="2" fontId="6" fillId="0" borderId="0" xfId="0" applyNumberFormat="1" applyFont="1" applyAlignment="1" applyProtection="1">
      <alignment horizontal="left" vertical="center" wrapText="1"/>
      <protection hidden="1"/>
    </xf>
    <xf numFmtId="2" fontId="6" fillId="0" borderId="0" xfId="0" applyNumberFormat="1" applyFont="1" applyAlignment="1" applyProtection="1">
      <alignment horizontal="left" vertical="center" wrapText="1"/>
      <protection locked="0"/>
    </xf>
    <xf numFmtId="0" fontId="0" fillId="0" borderId="0" xfId="0" applyNumberFormat="1"/>
    <xf numFmtId="2" fontId="6" fillId="0" borderId="0" xfId="0" applyNumberFormat="1" applyFont="1" applyFill="1" applyAlignment="1" applyProtection="1">
      <alignment horizontal="left" vertical="center" wrapText="1"/>
      <protection locked="0"/>
    </xf>
    <xf numFmtId="49" fontId="6" fillId="2" borderId="2" xfId="0" applyNumberFormat="1" applyFont="1" applyFill="1" applyBorder="1" applyAlignment="1" applyProtection="1">
      <alignment horizontal="left" vertical="center" wrapText="1"/>
      <protection hidden="1"/>
    </xf>
    <xf numFmtId="49" fontId="6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16" fillId="6" borderId="2" xfId="0" applyNumberFormat="1" applyFont="1" applyFill="1" applyBorder="1" applyAlignment="1" applyProtection="1">
      <alignment horizontal="center" vertical="center" wrapText="1"/>
      <protection hidden="1"/>
    </xf>
    <xf numFmtId="49" fontId="17" fillId="0" borderId="0" xfId="0" applyNumberFormat="1" applyFont="1" applyFill="1" applyAlignment="1" applyProtection="1">
      <alignment horizontal="left" vertical="center"/>
      <protection hidden="1"/>
    </xf>
    <xf numFmtId="0" fontId="16" fillId="0" borderId="0" xfId="0" applyFont="1" applyFill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horizontal="left" vertical="center" wrapText="1"/>
      <protection hidden="1"/>
    </xf>
    <xf numFmtId="49" fontId="16" fillId="0" borderId="0" xfId="0" applyNumberFormat="1" applyFont="1" applyAlignment="1" applyProtection="1">
      <alignment horizontal="left" vertical="center" wrapText="1"/>
      <protection hidden="1"/>
    </xf>
    <xf numFmtId="2" fontId="16" fillId="0" borderId="0" xfId="0" applyNumberFormat="1" applyFont="1" applyAlignment="1" applyProtection="1">
      <alignment horizontal="left" vertical="center" wrapText="1"/>
      <protection hidden="1"/>
    </xf>
    <xf numFmtId="49" fontId="16" fillId="0" borderId="0" xfId="0" applyNumberFormat="1" applyFont="1" applyFill="1" applyAlignment="1" applyProtection="1">
      <alignment horizontal="left" vertical="center" wrapText="1"/>
      <protection hidden="1"/>
    </xf>
    <xf numFmtId="49" fontId="16" fillId="0" borderId="2" xfId="0" applyNumberFormat="1" applyFont="1" applyFill="1" applyBorder="1" applyAlignment="1" applyProtection="1">
      <alignment horizontal="center" vertical="center" wrapText="1"/>
      <protection hidden="1"/>
    </xf>
    <xf numFmtId="49" fontId="16" fillId="2" borderId="2" xfId="0" applyNumberFormat="1" applyFont="1" applyFill="1" applyBorder="1" applyAlignment="1" applyProtection="1">
      <alignment horizontal="center" vertical="center" wrapText="1"/>
      <protection hidden="1"/>
    </xf>
    <xf numFmtId="2" fontId="16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0" xfId="0" applyNumberFormat="1" applyFont="1" applyFill="1" applyAlignment="1" applyProtection="1">
      <alignment horizontal="left" vertical="center" wrapText="1"/>
      <protection locked="0"/>
    </xf>
    <xf numFmtId="0" fontId="16" fillId="0" borderId="0" xfId="0" applyFont="1" applyFill="1" applyAlignment="1" applyProtection="1">
      <alignment horizontal="left" vertical="center" wrapText="1"/>
      <protection locked="0"/>
    </xf>
    <xf numFmtId="49" fontId="16" fillId="0" borderId="0" xfId="0" applyNumberFormat="1" applyFont="1" applyFill="1" applyAlignment="1" applyProtection="1">
      <alignment horizontal="left" vertical="center" wrapText="1"/>
      <protection locked="0"/>
    </xf>
    <xf numFmtId="2" fontId="16" fillId="0" borderId="0" xfId="0" applyNumberFormat="1" applyFont="1" applyFill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center" wrapText="1"/>
      <protection locked="0"/>
    </xf>
    <xf numFmtId="0" fontId="16" fillId="0" borderId="0" xfId="0" applyNumberFormat="1" applyFont="1" applyAlignment="1" applyProtection="1">
      <alignment horizontal="left" vertical="center" wrapText="1"/>
      <protection locked="0"/>
    </xf>
    <xf numFmtId="49" fontId="16" fillId="0" borderId="0" xfId="0" applyNumberFormat="1" applyFont="1" applyAlignment="1" applyProtection="1">
      <alignment horizontal="left" vertical="center" wrapText="1"/>
      <protection locked="0"/>
    </xf>
    <xf numFmtId="2" fontId="16" fillId="0" borderId="0" xfId="0" applyNumberFormat="1" applyFont="1" applyAlignment="1" applyProtection="1">
      <alignment horizontal="left" vertical="center" wrapText="1"/>
      <protection locked="0"/>
    </xf>
    <xf numFmtId="0" fontId="16" fillId="0" borderId="0" xfId="0" applyFont="1"/>
    <xf numFmtId="49" fontId="16" fillId="0" borderId="0" xfId="0" applyNumberFormat="1" applyFont="1"/>
    <xf numFmtId="4" fontId="16" fillId="0" borderId="0" xfId="0" applyNumberFormat="1" applyFont="1"/>
    <xf numFmtId="0" fontId="16" fillId="0" borderId="0" xfId="0" applyFont="1" applyFill="1" applyBorder="1"/>
    <xf numFmtId="49" fontId="17" fillId="0" borderId="0" xfId="0" applyNumberFormat="1" applyFont="1" applyAlignment="1" applyProtection="1">
      <alignment horizontal="left" vertical="center"/>
      <protection hidden="1"/>
    </xf>
    <xf numFmtId="0" fontId="16" fillId="0" borderId="0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" fontId="16" fillId="0" borderId="0" xfId="0" applyNumberFormat="1" applyFont="1" applyFill="1" applyBorder="1" applyAlignment="1">
      <alignment horizontal="right"/>
    </xf>
    <xf numFmtId="49" fontId="16" fillId="0" borderId="0" xfId="0" applyNumberFormat="1" applyFont="1" applyFill="1" applyBorder="1" applyAlignment="1" applyProtection="1">
      <alignment horizontal="left" vertical="center" wrapText="1"/>
      <protection hidden="1"/>
    </xf>
    <xf numFmtId="0" fontId="16" fillId="0" borderId="0" xfId="0" applyFont="1" applyAlignment="1">
      <alignment horizontal="center"/>
    </xf>
    <xf numFmtId="49" fontId="16" fillId="0" borderId="0" xfId="0" applyNumberFormat="1" applyFont="1" applyFill="1"/>
    <xf numFmtId="0" fontId="16" fillId="0" borderId="2" xfId="0" applyFont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/>
    </xf>
    <xf numFmtId="4" fontId="16" fillId="0" borderId="2" xfId="0" applyNumberFormat="1" applyFont="1" applyBorder="1" applyAlignment="1">
      <alignment horizontal="center" vertical="center"/>
    </xf>
    <xf numFmtId="49" fontId="16" fillId="4" borderId="2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Fill="1" applyAlignment="1">
      <alignment horizontal="center"/>
    </xf>
    <xf numFmtId="0" fontId="16" fillId="0" borderId="0" xfId="0" applyFont="1" applyProtection="1">
      <protection hidden="1"/>
    </xf>
    <xf numFmtId="49" fontId="16" fillId="0" borderId="0" xfId="0" applyNumberFormat="1" applyFont="1" applyAlignment="1" applyProtection="1">
      <alignment wrapText="1"/>
      <protection hidden="1"/>
    </xf>
    <xf numFmtId="0" fontId="15" fillId="0" borderId="1" xfId="0" applyFont="1" applyBorder="1" applyProtection="1">
      <protection hidden="1"/>
    </xf>
    <xf numFmtId="0" fontId="15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6" xfId="0" applyFont="1" applyBorder="1" applyProtection="1">
      <protection hidden="1"/>
    </xf>
    <xf numFmtId="0" fontId="15" fillId="0" borderId="7" xfId="0" applyFont="1" applyBorder="1" applyProtection="1">
      <protection hidden="1"/>
    </xf>
    <xf numFmtId="0" fontId="15" fillId="0" borderId="8" xfId="0" applyFont="1" applyBorder="1" applyProtection="1">
      <protection hidden="1"/>
    </xf>
    <xf numFmtId="0" fontId="15" fillId="0" borderId="9" xfId="0" applyFont="1" applyBorder="1" applyProtection="1">
      <protection hidden="1"/>
    </xf>
    <xf numFmtId="49" fontId="16" fillId="0" borderId="4" xfId="0" applyNumberFormat="1" applyFont="1" applyBorder="1" applyAlignment="1" applyProtection="1">
      <alignment wrapText="1"/>
      <protection hidden="1"/>
    </xf>
    <xf numFmtId="0" fontId="16" fillId="0" borderId="4" xfId="0" applyNumberFormat="1" applyFont="1" applyBorder="1" applyAlignment="1" applyProtection="1">
      <alignment wrapText="1"/>
      <protection hidden="1"/>
    </xf>
    <xf numFmtId="49" fontId="17" fillId="0" borderId="0" xfId="0" applyNumberFormat="1" applyFont="1" applyAlignment="1" applyProtection="1">
      <alignment vertical="center"/>
      <protection hidden="1"/>
    </xf>
    <xf numFmtId="0" fontId="16" fillId="0" borderId="0" xfId="0" applyFont="1" applyFill="1" applyBorder="1" applyAlignment="1"/>
    <xf numFmtId="0" fontId="16" fillId="0" borderId="0" xfId="0" applyFont="1" applyAlignment="1"/>
    <xf numFmtId="0" fontId="16" fillId="0" borderId="0" xfId="0" applyFont="1" applyAlignment="1">
      <alignment horizontal="left" vertical="top"/>
    </xf>
    <xf numFmtId="0" fontId="16" fillId="0" borderId="0" xfId="0" applyFont="1" applyFill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6" fillId="0" borderId="0" xfId="0" applyFont="1" applyFill="1" applyBorder="1" applyAlignment="1">
      <alignment horizontal="left"/>
    </xf>
    <xf numFmtId="49" fontId="16" fillId="0" borderId="0" xfId="0" applyNumberFormat="1" applyFont="1" applyAlignment="1">
      <alignment horizontal="left"/>
    </xf>
    <xf numFmtId="49" fontId="16" fillId="0" borderId="0" xfId="0" applyNumberFormat="1" applyFont="1" applyFill="1" applyBorder="1" applyAlignment="1">
      <alignment horizontal="left"/>
    </xf>
    <xf numFmtId="4" fontId="16" fillId="0" borderId="0" xfId="0" applyNumberFormat="1" applyFont="1" applyAlignment="1">
      <alignment horizontal="right"/>
    </xf>
    <xf numFmtId="2" fontId="16" fillId="0" borderId="0" xfId="0" applyNumberFormat="1" applyFont="1" applyFill="1" applyBorder="1" applyAlignment="1" applyProtection="1">
      <alignment horizontal="right" vertical="center" wrapText="1"/>
      <protection hidden="1"/>
    </xf>
    <xf numFmtId="2" fontId="16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center" vertical="center" wrapText="1"/>
      <protection hidden="1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49" fontId="16" fillId="0" borderId="4" xfId="0" applyNumberFormat="1" applyFont="1" applyBorder="1" applyAlignment="1" applyProtection="1">
      <alignment wrapText="1"/>
      <protection locked="0" hidden="1"/>
    </xf>
    <xf numFmtId="49" fontId="16" fillId="0" borderId="3" xfId="0" applyNumberFormat="1" applyFont="1" applyBorder="1" applyAlignment="1" applyProtection="1">
      <alignment wrapText="1"/>
      <protection locked="0" hidden="1"/>
    </xf>
    <xf numFmtId="49" fontId="16" fillId="0" borderId="5" xfId="0" applyNumberFormat="1" applyFont="1" applyBorder="1" applyAlignment="1" applyProtection="1">
      <alignment wrapText="1"/>
      <protection locked="0" hidden="1"/>
    </xf>
    <xf numFmtId="49" fontId="16" fillId="0" borderId="1" xfId="0" applyNumberFormat="1" applyFont="1" applyBorder="1" applyAlignment="1" applyProtection="1">
      <alignment wrapText="1"/>
      <protection locked="0" hidden="1"/>
    </xf>
    <xf numFmtId="49" fontId="18" fillId="0" borderId="1" xfId="0" applyNumberFormat="1" applyFont="1" applyBorder="1" applyAlignment="1" applyProtection="1">
      <alignment wrapText="1"/>
      <protection locked="0" hidden="1"/>
    </xf>
    <xf numFmtId="49" fontId="16" fillId="0" borderId="1" xfId="0" applyNumberFormat="1" applyFont="1" applyFill="1" applyBorder="1" applyAlignment="1" applyProtection="1">
      <alignment horizontal="left" vertical="center" wrapText="1"/>
      <protection locked="0" hidden="1"/>
    </xf>
    <xf numFmtId="49" fontId="16" fillId="0" borderId="0" xfId="0" applyNumberFormat="1" applyFont="1" applyAlignment="1" applyProtection="1">
      <alignment wrapText="1"/>
      <protection locked="0" hidden="1"/>
    </xf>
    <xf numFmtId="49" fontId="16" fillId="6" borderId="2" xfId="0" applyNumberFormat="1" applyFont="1" applyFill="1" applyBorder="1" applyAlignment="1" applyProtection="1">
      <alignment horizontal="left" vertical="center" wrapText="1"/>
      <protection hidden="1"/>
    </xf>
    <xf numFmtId="2" fontId="16" fillId="0" borderId="0" xfId="0" applyNumberFormat="1" applyFont="1" applyAlignment="1">
      <alignment horizontal="left"/>
    </xf>
    <xf numFmtId="2" fontId="16" fillId="0" borderId="0" xfId="0" applyNumberFormat="1" applyFont="1" applyFill="1" applyBorder="1" applyAlignment="1" applyProtection="1">
      <alignment horizontal="right" wrapText="1"/>
      <protection hidden="1"/>
    </xf>
    <xf numFmtId="2" fontId="16" fillId="0" borderId="0" xfId="0" applyNumberFormat="1" applyFont="1" applyFill="1" applyAlignment="1" applyProtection="1">
      <alignment horizontal="right" vertical="center" wrapText="1"/>
      <protection locked="0"/>
    </xf>
    <xf numFmtId="2" fontId="16" fillId="0" borderId="0" xfId="0" applyNumberFormat="1" applyFont="1" applyFill="1" applyAlignment="1" applyProtection="1">
      <alignment horizontal="right" vertical="center" wrapText="1"/>
      <protection hidden="1"/>
    </xf>
    <xf numFmtId="2" fontId="16" fillId="0" borderId="0" xfId="0" applyNumberFormat="1" applyFont="1" applyAlignment="1" applyProtection="1">
      <alignment horizontal="right" vertical="center" wrapText="1"/>
      <protection locked="0"/>
    </xf>
    <xf numFmtId="0" fontId="13" fillId="0" borderId="0" xfId="0" applyFont="1" applyAlignment="1">
      <alignment horizontal="center" vertical="center"/>
    </xf>
    <xf numFmtId="0" fontId="14" fillId="2" borderId="6" xfId="0" applyFont="1" applyFill="1" applyBorder="1" applyAlignment="1" applyProtection="1">
      <alignment horizontal="center"/>
      <protection hidden="1"/>
    </xf>
    <xf numFmtId="0" fontId="14" fillId="2" borderId="10" xfId="0" applyFont="1" applyFill="1" applyBorder="1" applyAlignment="1" applyProtection="1">
      <alignment horizontal="center"/>
      <protection hidden="1"/>
    </xf>
    <xf numFmtId="0" fontId="19" fillId="5" borderId="8" xfId="0" applyFont="1" applyFill="1" applyBorder="1" applyAlignment="1" applyProtection="1">
      <alignment horizontal="center"/>
      <protection hidden="1"/>
    </xf>
    <xf numFmtId="0" fontId="19" fillId="5" borderId="11" xfId="0" applyFont="1" applyFill="1" applyBorder="1" applyAlignment="1" applyProtection="1">
      <alignment horizontal="center"/>
      <protection hidden="1"/>
    </xf>
    <xf numFmtId="49" fontId="9" fillId="0" borderId="0" xfId="0" applyNumberFormat="1" applyFont="1" applyAlignment="1" applyProtection="1">
      <alignment horizontal="center" vertical="center"/>
      <protection hidden="1"/>
    </xf>
    <xf numFmtId="49" fontId="17" fillId="0" borderId="0" xfId="0" applyNumberFormat="1" applyFont="1" applyAlignment="1" applyProtection="1">
      <alignment horizontal="center" vertical="center"/>
      <protection hidden="1"/>
    </xf>
    <xf numFmtId="49" fontId="4" fillId="0" borderId="0" xfId="0" applyNumberFormat="1" applyFont="1" applyFill="1" applyAlignment="1" applyProtection="1">
      <alignment horizontal="center"/>
      <protection locked="0"/>
    </xf>
    <xf numFmtId="49" fontId="4" fillId="0" borderId="0" xfId="0" applyNumberFormat="1" applyFont="1" applyFill="1" applyAlignment="1" applyProtection="1">
      <alignment horizontal="center" wrapText="1"/>
      <protection locked="0"/>
    </xf>
  </cellXfs>
  <cellStyles count="1">
    <cellStyle name="Обычный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647700</xdr:colOff>
          <xdr:row>2</xdr:row>
          <xdr:rowOff>152400</xdr:rowOff>
        </xdr:to>
        <xdr:sp macro="" textlink="">
          <xdr:nvSpPr>
            <xdr:cNvPr id="22530" name="LoadPersonal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171450</xdr:colOff>
          <xdr:row>10</xdr:row>
          <xdr:rowOff>0</xdr:rowOff>
        </xdr:to>
        <xdr:sp macro="" textlink="">
          <xdr:nvSpPr>
            <xdr:cNvPr id="15365" name="Object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47625</xdr:rowOff>
        </xdr:from>
        <xdr:to>
          <xdr:col>4</xdr:col>
          <xdr:colOff>409575</xdr:colOff>
          <xdr:row>2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</xdr:row>
          <xdr:rowOff>47625</xdr:rowOff>
        </xdr:from>
        <xdr:to>
          <xdr:col>6</xdr:col>
          <xdr:colOff>333375</xdr:colOff>
          <xdr:row>2</xdr:row>
          <xdr:rowOff>142875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2</xdr:row>
          <xdr:rowOff>142875</xdr:rowOff>
        </xdr:from>
        <xdr:to>
          <xdr:col>6</xdr:col>
          <xdr:colOff>352425</xdr:colOff>
          <xdr:row>4</xdr:row>
          <xdr:rowOff>57150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142875</xdr:rowOff>
        </xdr:from>
        <xdr:to>
          <xdr:col>4</xdr:col>
          <xdr:colOff>400050</xdr:colOff>
          <xdr:row>4</xdr:row>
          <xdr:rowOff>57150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Book Antiqua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161925</xdr:rowOff>
        </xdr:from>
        <xdr:to>
          <xdr:col>7</xdr:col>
          <xdr:colOff>19050</xdr:colOff>
          <xdr:row>6</xdr:row>
          <xdr:rowOff>9525</xdr:rowOff>
        </xdr:to>
        <xdr:sp macro="" textlink="">
          <xdr:nvSpPr>
            <xdr:cNvPr id="24581" name="CommandButton1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4</xdr:row>
          <xdr:rowOff>161925</xdr:rowOff>
        </xdr:from>
        <xdr:to>
          <xdr:col>31</xdr:col>
          <xdr:colOff>876300</xdr:colOff>
          <xdr:row>6</xdr:row>
          <xdr:rowOff>9525</xdr:rowOff>
        </xdr:to>
        <xdr:sp macro="" textlink="">
          <xdr:nvSpPr>
            <xdr:cNvPr id="24582" name="CommandButton2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5</xdr:row>
          <xdr:rowOff>0</xdr:rowOff>
        </xdr:from>
        <xdr:to>
          <xdr:col>31</xdr:col>
          <xdr:colOff>19050</xdr:colOff>
          <xdr:row>6</xdr:row>
          <xdr:rowOff>19050</xdr:rowOff>
        </xdr:to>
        <xdr:sp macro="" textlink="">
          <xdr:nvSpPr>
            <xdr:cNvPr id="24583" name="CommandButton3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15</xdr:col>
          <xdr:colOff>590550</xdr:colOff>
          <xdr:row>5</xdr:row>
          <xdr:rowOff>285750</xdr:rowOff>
        </xdr:to>
        <xdr:sp macro="" textlink="">
          <xdr:nvSpPr>
            <xdr:cNvPr id="24584" name="CopyAddress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1743075</xdr:colOff>
          <xdr:row>3</xdr:row>
          <xdr:rowOff>28575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0</xdr:rowOff>
        </xdr:from>
        <xdr:to>
          <xdr:col>2</xdr:col>
          <xdr:colOff>1743075</xdr:colOff>
          <xdr:row>4</xdr:row>
          <xdr:rowOff>104775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114300</xdr:rowOff>
        </xdr:from>
        <xdr:to>
          <xdr:col>2</xdr:col>
          <xdr:colOff>1743075</xdr:colOff>
          <xdr:row>5</xdr:row>
          <xdr:rowOff>76200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</xdr:row>
          <xdr:rowOff>76200</xdr:rowOff>
        </xdr:from>
        <xdr:to>
          <xdr:col>2</xdr:col>
          <xdr:colOff>1743075</xdr:colOff>
          <xdr:row>5</xdr:row>
          <xdr:rowOff>361950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9</xdr:row>
          <xdr:rowOff>161925</xdr:rowOff>
        </xdr:from>
        <xdr:to>
          <xdr:col>6</xdr:col>
          <xdr:colOff>19050</xdr:colOff>
          <xdr:row>9</xdr:row>
          <xdr:rowOff>323850</xdr:rowOff>
        </xdr:to>
        <xdr:sp macro="" textlink="">
          <xdr:nvSpPr>
            <xdr:cNvPr id="23561" name="ComboBox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3</xdr:col>
          <xdr:colOff>0</xdr:colOff>
          <xdr:row>6</xdr:row>
          <xdr:rowOff>28575</xdr:rowOff>
        </xdr:to>
        <xdr:sp macro="" textlink="">
          <xdr:nvSpPr>
            <xdr:cNvPr id="23562" name="LoadPersonal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1866900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1866900</xdr:colOff>
          <xdr:row>4</xdr:row>
          <xdr:rowOff>123825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1866900</xdr:colOff>
          <xdr:row>5</xdr:row>
          <xdr:rowOff>238125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1866900</xdr:colOff>
          <xdr:row>5</xdr:row>
          <xdr:rowOff>514350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2</xdr:col>
          <xdr:colOff>66675</xdr:colOff>
          <xdr:row>5</xdr:row>
          <xdr:rowOff>828675</xdr:rowOff>
        </xdr:to>
        <xdr:sp macro="" textlink="">
          <xdr:nvSpPr>
            <xdr:cNvPr id="13326" name="LoadPersonal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6</xdr:row>
          <xdr:rowOff>190500</xdr:rowOff>
        </xdr:from>
        <xdr:to>
          <xdr:col>7</xdr:col>
          <xdr:colOff>0</xdr:colOff>
          <xdr:row>6</xdr:row>
          <xdr:rowOff>352425</xdr:rowOff>
        </xdr:to>
        <xdr:sp macro="" textlink="">
          <xdr:nvSpPr>
            <xdr:cNvPr id="13333" name="ComboBox2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57150</xdr:rowOff>
        </xdr:from>
        <xdr:to>
          <xdr:col>1</xdr:col>
          <xdr:colOff>1866900</xdr:colOff>
          <xdr:row>3</xdr:row>
          <xdr:rowOff>9525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1</xdr:col>
          <xdr:colOff>1866900</xdr:colOff>
          <xdr:row>4</xdr:row>
          <xdr:rowOff>123825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133350</xdr:rowOff>
        </xdr:from>
        <xdr:to>
          <xdr:col>1</xdr:col>
          <xdr:colOff>1866900</xdr:colOff>
          <xdr:row>5</xdr:row>
          <xdr:rowOff>238125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Загрузить из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247650</xdr:rowOff>
        </xdr:from>
        <xdr:to>
          <xdr:col>1</xdr:col>
          <xdr:colOff>1866900</xdr:colOff>
          <xdr:row>5</xdr:row>
          <xdr:rowOff>514350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5</xdr:row>
          <xdr:rowOff>523875</xdr:rowOff>
        </xdr:from>
        <xdr:to>
          <xdr:col>2</xdr:col>
          <xdr:colOff>76200</xdr:colOff>
          <xdr:row>5</xdr:row>
          <xdr:rowOff>828675</xdr:rowOff>
        </xdr:to>
        <xdr:sp macro="" textlink="">
          <xdr:nvSpPr>
            <xdr:cNvPr id="31749" name="LoadPersonal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6</xdr:row>
          <xdr:rowOff>85725</xdr:rowOff>
        </xdr:from>
        <xdr:to>
          <xdr:col>6</xdr:col>
          <xdr:colOff>847725</xdr:colOff>
          <xdr:row>6</xdr:row>
          <xdr:rowOff>342900</xdr:rowOff>
        </xdr:to>
        <xdr:sp macro="" textlink="">
          <xdr:nvSpPr>
            <xdr:cNvPr id="31750" name="ComboBox2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1743075</xdr:colOff>
          <xdr:row>3</xdr:row>
          <xdr:rowOff>28575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Проверить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3</xdr:row>
          <xdr:rowOff>28575</xdr:rowOff>
        </xdr:from>
        <xdr:to>
          <xdr:col>2</xdr:col>
          <xdr:colOff>1743075</xdr:colOff>
          <xdr:row>4</xdr:row>
          <xdr:rowOff>123825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 DOS-файл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123825</xdr:rowOff>
        </xdr:from>
        <xdr:to>
          <xdr:col>2</xdr:col>
          <xdr:colOff>1743075</xdr:colOff>
          <xdr:row>5</xdr:row>
          <xdr:rowOff>85725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Печатная форма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E1:E10" totalsRowShown="0" headerRowDxfId="2" dataDxfId="1">
  <tableColumns count="1">
    <tableColumn id="1" name="Наименование вида выплаты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_________Microsoft_Word_97_20031.doc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6" Type="http://schemas.openxmlformats.org/officeDocument/2006/relationships/comments" Target="../comments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7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7.emf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16.xml"/><Relationship Id="rId5" Type="http://schemas.openxmlformats.org/officeDocument/2006/relationships/image" Target="../media/image9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8.xml"/><Relationship Id="rId9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1.emf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11" Type="http://schemas.openxmlformats.org/officeDocument/2006/relationships/ctrlProp" Target="../ctrlProps/ctrlProp20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19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3.xml"/><Relationship Id="rId11" Type="http://schemas.openxmlformats.org/officeDocument/2006/relationships/comments" Target="../comments6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B1:I8"/>
  <sheetViews>
    <sheetView workbookViewId="0"/>
  </sheetViews>
  <sheetFormatPr defaultRowHeight="12.75" x14ac:dyDescent="0.2"/>
  <cols>
    <col min="2" max="2" width="4" bestFit="1" customWidth="1"/>
    <col min="3" max="3" width="17.42578125" bestFit="1" customWidth="1"/>
    <col min="4" max="4" width="13.42578125" bestFit="1" customWidth="1"/>
    <col min="5" max="5" width="18.85546875" bestFit="1" customWidth="1"/>
    <col min="6" max="6" width="15.5703125" style="41" bestFit="1" customWidth="1"/>
    <col min="7" max="7" width="22.28515625" bestFit="1" customWidth="1"/>
    <col min="8" max="8" width="21.42578125" style="41" bestFit="1" customWidth="1"/>
    <col min="9" max="9" width="18.140625" style="41" bestFit="1" customWidth="1"/>
  </cols>
  <sheetData>
    <row r="1" spans="2:9" ht="27" customHeight="1" x14ac:dyDescent="0.2">
      <c r="B1" s="128" t="s">
        <v>95</v>
      </c>
      <c r="C1" s="128"/>
      <c r="D1" s="128"/>
      <c r="E1" s="128"/>
      <c r="F1" s="128"/>
      <c r="G1" s="128"/>
      <c r="H1" s="128"/>
      <c r="I1" s="128"/>
    </row>
    <row r="7" spans="2:9" x14ac:dyDescent="0.2">
      <c r="B7" s="46" t="s">
        <v>0</v>
      </c>
      <c r="C7" s="46" t="s">
        <v>4</v>
      </c>
      <c r="D7" s="46" t="s">
        <v>3</v>
      </c>
      <c r="E7" s="46" t="s">
        <v>5</v>
      </c>
      <c r="F7" s="47" t="s">
        <v>32</v>
      </c>
      <c r="G7" s="46" t="s">
        <v>92</v>
      </c>
      <c r="H7" s="47" t="s">
        <v>93</v>
      </c>
      <c r="I7" s="47" t="s">
        <v>94</v>
      </c>
    </row>
    <row r="8" spans="2:9" ht="12.75" customHeight="1" x14ac:dyDescent="0.2"/>
  </sheetData>
  <mergeCells count="1">
    <mergeCell ref="B1:I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30" r:id="rId4" name="LoadPersonal">
          <controlPr defaultSize="0" autoLine="0" r:id="rId5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22530" r:id="rId4" name="LoadPerson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3"/>
  <sheetViews>
    <sheetView workbookViewId="0">
      <selection activeCell="F15" sqref="F15"/>
    </sheetView>
  </sheetViews>
  <sheetFormatPr defaultRowHeight="12.75" x14ac:dyDescent="0.2"/>
  <cols>
    <col min="2" max="2" width="15" customWidth="1"/>
  </cols>
  <sheetData>
    <row r="3" spans="2:2" ht="20.25" x14ac:dyDescent="0.3">
      <c r="B3" s="42" t="s">
        <v>66</v>
      </c>
    </row>
  </sheetData>
  <sheetProtection password="CA9C" sheet="1"/>
  <phoneticPr fontId="1" type="noConversion"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15365" r:id="rId4">
          <objectPr defaultSize="0" r:id="rId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171450</xdr:colOff>
                <xdr:row>10</xdr:row>
                <xdr:rowOff>0</xdr:rowOff>
              </to>
            </anchor>
          </objectPr>
        </oleObject>
      </mc:Choice>
      <mc:Fallback>
        <oleObject progId="Document" dvAspect="DVASPECT_ICON" shapeId="153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00B050"/>
  </sheetPr>
  <dimension ref="A1:F23"/>
  <sheetViews>
    <sheetView tabSelected="1" workbookViewId="0">
      <selection activeCell="C6" sqref="C6"/>
    </sheetView>
  </sheetViews>
  <sheetFormatPr defaultColWidth="9.140625" defaultRowHeight="13.5" x14ac:dyDescent="0.25"/>
  <cols>
    <col min="1" max="1" width="3.28515625" style="9" customWidth="1"/>
    <col min="2" max="2" width="33" style="90" customWidth="1"/>
    <col min="3" max="3" width="50.85546875" style="91" customWidth="1"/>
    <col min="4" max="4" width="9.140625" style="9" hidden="1" customWidth="1"/>
    <col min="5" max="5" width="40.85546875" style="9" hidden="1" customWidth="1"/>
    <col min="6" max="6" width="9.140625" style="53" hidden="1" customWidth="1"/>
    <col min="7" max="16384" width="9.140625" style="9"/>
  </cols>
  <sheetData>
    <row r="1" spans="1:6" ht="15" x14ac:dyDescent="0.3">
      <c r="B1" s="90" t="s">
        <v>65</v>
      </c>
      <c r="C1" s="121"/>
      <c r="D1" s="43" t="s">
        <v>78</v>
      </c>
      <c r="E1" s="21" t="s">
        <v>70</v>
      </c>
      <c r="F1" s="43" t="s">
        <v>78</v>
      </c>
    </row>
    <row r="2" spans="1:6" ht="15.75" thickBot="1" x14ac:dyDescent="0.35">
      <c r="D2" s="43"/>
      <c r="E2" s="21" t="s">
        <v>77</v>
      </c>
      <c r="F2" s="43"/>
    </row>
    <row r="3" spans="1:6" ht="19.5" thickBot="1" x14ac:dyDescent="0.35">
      <c r="B3" s="129" t="s">
        <v>14</v>
      </c>
      <c r="C3" s="130"/>
      <c r="D3" s="43" t="s">
        <v>73</v>
      </c>
      <c r="E3" s="21" t="s">
        <v>71</v>
      </c>
      <c r="F3" s="43" t="s">
        <v>73</v>
      </c>
    </row>
    <row r="4" spans="1:6" ht="15.75" thickBot="1" x14ac:dyDescent="0.35">
      <c r="B4" s="92" t="s">
        <v>15</v>
      </c>
      <c r="C4" s="119"/>
      <c r="D4" s="43" t="s">
        <v>61</v>
      </c>
      <c r="E4" s="21" t="s">
        <v>72</v>
      </c>
      <c r="F4" s="43" t="s">
        <v>61</v>
      </c>
    </row>
    <row r="5" spans="1:6" ht="17.25" customHeight="1" thickBot="1" x14ac:dyDescent="0.35">
      <c r="B5" s="92" t="s">
        <v>1</v>
      </c>
      <c r="C5" s="119"/>
      <c r="D5" s="43" t="s">
        <v>74</v>
      </c>
      <c r="E5" s="21" t="s">
        <v>183</v>
      </c>
      <c r="F5" s="43" t="s">
        <v>74</v>
      </c>
    </row>
    <row r="6" spans="1:6" s="10" customFormat="1" ht="29.25" customHeight="1" thickBot="1" x14ac:dyDescent="0.35">
      <c r="B6" s="93" t="s">
        <v>8</v>
      </c>
      <c r="C6" s="120"/>
      <c r="D6" s="43" t="s">
        <v>75</v>
      </c>
      <c r="E6" s="21" t="s">
        <v>97</v>
      </c>
      <c r="F6" s="43" t="s">
        <v>75</v>
      </c>
    </row>
    <row r="7" spans="1:6" ht="17.25" customHeight="1" thickBot="1" x14ac:dyDescent="0.35">
      <c r="B7" s="92" t="s">
        <v>16</v>
      </c>
      <c r="C7" s="119"/>
      <c r="D7" s="43" t="s">
        <v>76</v>
      </c>
      <c r="E7" s="21" t="s">
        <v>98</v>
      </c>
      <c r="F7" s="54" t="s">
        <v>76</v>
      </c>
    </row>
    <row r="8" spans="1:6" ht="17.25" customHeight="1" thickBot="1" x14ac:dyDescent="0.35">
      <c r="B8" s="92" t="s">
        <v>17</v>
      </c>
      <c r="C8" s="119"/>
      <c r="D8" s="43" t="s">
        <v>173</v>
      </c>
      <c r="E8" s="21" t="s">
        <v>174</v>
      </c>
      <c r="F8" s="54" t="s">
        <v>173</v>
      </c>
    </row>
    <row r="9" spans="1:6" ht="17.25" customHeight="1" thickBot="1" x14ac:dyDescent="0.35">
      <c r="B9" s="92" t="s">
        <v>18</v>
      </c>
      <c r="C9" s="119"/>
      <c r="D9" s="43" t="s">
        <v>172</v>
      </c>
      <c r="E9" s="21" t="s">
        <v>184</v>
      </c>
      <c r="F9" s="54" t="s">
        <v>172</v>
      </c>
    </row>
    <row r="10" spans="1:6" x14ac:dyDescent="0.25">
      <c r="D10" s="9">
        <v>22</v>
      </c>
      <c r="E10" s="9" t="s">
        <v>216</v>
      </c>
    </row>
    <row r="11" spans="1:6" x14ac:dyDescent="0.25">
      <c r="A11" s="13"/>
    </row>
    <row r="12" spans="1:6" x14ac:dyDescent="0.25">
      <c r="B12" s="90" t="s">
        <v>68</v>
      </c>
      <c r="C12" s="91" t="s">
        <v>73</v>
      </c>
    </row>
    <row r="14" spans="1:6" ht="14.25" thickBot="1" x14ac:dyDescent="0.3"/>
    <row r="15" spans="1:6" ht="15.75" thickBot="1" x14ac:dyDescent="0.3">
      <c r="B15" s="131" t="s">
        <v>195</v>
      </c>
      <c r="C15" s="132"/>
    </row>
    <row r="16" spans="1:6" ht="14.25" thickBot="1" x14ac:dyDescent="0.3">
      <c r="B16" s="94" t="s">
        <v>187</v>
      </c>
      <c r="C16" s="116"/>
    </row>
    <row r="17" spans="2:3" x14ac:dyDescent="0.25">
      <c r="B17" s="94" t="s">
        <v>188</v>
      </c>
      <c r="C17" s="116"/>
    </row>
    <row r="18" spans="2:3" ht="14.25" thickBot="1" x14ac:dyDescent="0.3">
      <c r="B18" s="95" t="s">
        <v>189</v>
      </c>
      <c r="C18" s="117"/>
    </row>
    <row r="19" spans="2:3" ht="14.25" thickBot="1" x14ac:dyDescent="0.3">
      <c r="B19" s="96" t="s">
        <v>190</v>
      </c>
      <c r="C19" s="118"/>
    </row>
    <row r="20" spans="2:3" ht="14.25" thickBot="1" x14ac:dyDescent="0.3">
      <c r="B20" s="97" t="s">
        <v>191</v>
      </c>
      <c r="C20" s="115"/>
    </row>
    <row r="21" spans="2:3" ht="14.25" thickBot="1" x14ac:dyDescent="0.3">
      <c r="B21" s="97" t="s">
        <v>192</v>
      </c>
      <c r="C21" s="98" t="s">
        <v>208</v>
      </c>
    </row>
    <row r="22" spans="2:3" ht="14.25" thickBot="1" x14ac:dyDescent="0.3">
      <c r="B22" s="97" t="s">
        <v>193</v>
      </c>
      <c r="C22" s="115" t="s">
        <v>208</v>
      </c>
    </row>
    <row r="23" spans="2:3" ht="14.25" thickBot="1" x14ac:dyDescent="0.3">
      <c r="B23" s="97" t="s">
        <v>194</v>
      </c>
      <c r="C23" s="99" t="str">
        <f>VLOOKUP(C22,System!G15:H21,2,FALSE)</f>
        <v>044525787</v>
      </c>
    </row>
  </sheetData>
  <sheetProtection formatCells="0" formatColumns="0" formatRows="0" insertColumns="0" insertRows="0" insertHyperlinks="0" deleteColumns="0" deleteRows="0" selectLockedCells="1" sort="0" autoFilter="0" pivotTables="0"/>
  <dataConsolidate/>
  <mergeCells count="2">
    <mergeCell ref="B3:C3"/>
    <mergeCell ref="B15:C15"/>
  </mergeCells>
  <phoneticPr fontId="1" type="noConversion"/>
  <dataValidations count="2">
    <dataValidation type="list" allowBlank="1" showInputMessage="1" showErrorMessage="1" sqref="C22">
      <formula1>ФИЛИАЛ_ПАО__БАНК_УРАЛСИБ__В_Г._СТАВРОПОЛЬ</formula1>
    </dataValidation>
    <dataValidation type="list" allowBlank="1" showInputMessage="1" showErrorMessage="1" sqref="C12">
      <formula1>D2:D10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OpenCard2">
    <tabColor rgb="FF00B050"/>
  </sheetPr>
  <dimension ref="A1:AV9"/>
  <sheetViews>
    <sheetView workbookViewId="0">
      <pane ySplit="7" topLeftCell="A8" activePane="bottomLeft" state="frozen"/>
      <selection activeCell="H3" sqref="H3"/>
      <selection pane="bottomLeft" activeCell="A7" sqref="A7"/>
    </sheetView>
  </sheetViews>
  <sheetFormatPr defaultColWidth="9.140625" defaultRowHeight="13.5" x14ac:dyDescent="0.2"/>
  <cols>
    <col min="1" max="1" width="3.140625" style="17" customWidth="1"/>
    <col min="2" max="2" width="3.140625" style="17" bestFit="1" customWidth="1"/>
    <col min="3" max="3" width="16.42578125" style="17" bestFit="1" customWidth="1"/>
    <col min="4" max="4" width="11.5703125" style="17" bestFit="1" customWidth="1"/>
    <col min="5" max="5" width="15.7109375" style="17" bestFit="1" customWidth="1"/>
    <col min="6" max="6" width="11" style="17" bestFit="1" customWidth="1"/>
    <col min="7" max="7" width="11" style="17" customWidth="1"/>
    <col min="8" max="8" width="13.28515625" style="17" bestFit="1" customWidth="1"/>
    <col min="9" max="9" width="13.5703125" style="17" bestFit="1" customWidth="1"/>
    <col min="10" max="10" width="16.42578125" style="17" bestFit="1" customWidth="1"/>
    <col min="11" max="11" width="22.140625" style="17" bestFit="1" customWidth="1"/>
    <col min="12" max="12" width="19.7109375" style="17" bestFit="1" customWidth="1"/>
    <col min="13" max="13" width="19.42578125" style="17" bestFit="1" customWidth="1"/>
    <col min="14" max="14" width="20.85546875" style="17" customWidth="1"/>
    <col min="15" max="15" width="6.7109375" style="17" bestFit="1" customWidth="1"/>
    <col min="16" max="16" width="14.7109375" style="17" bestFit="1" customWidth="1"/>
    <col min="17" max="17" width="4.85546875" style="17" bestFit="1" customWidth="1"/>
    <col min="18" max="18" width="7.7109375" style="17" bestFit="1" customWidth="1"/>
    <col min="19" max="19" width="10" style="17" bestFit="1" customWidth="1"/>
    <col min="20" max="20" width="18" style="17" bestFit="1" customWidth="1"/>
    <col min="21" max="21" width="15.5703125" style="17" bestFit="1" customWidth="1"/>
    <col min="22" max="22" width="16.85546875" style="17" bestFit="1" customWidth="1"/>
    <col min="23" max="23" width="4.7109375" style="17" bestFit="1" customWidth="1"/>
    <col min="24" max="25" width="21.5703125" style="17" customWidth="1"/>
    <col min="26" max="26" width="17.5703125" style="17" customWidth="1"/>
    <col min="27" max="27" width="17.28515625" style="17" bestFit="1" customWidth="1"/>
    <col min="28" max="28" width="25" style="17" bestFit="1" customWidth="1"/>
    <col min="29" max="29" width="14.140625" style="17" bestFit="1" customWidth="1"/>
    <col min="30" max="30" width="26.140625" style="17" bestFit="1" customWidth="1"/>
    <col min="31" max="31" width="11.140625" style="17" bestFit="1" customWidth="1"/>
    <col min="32" max="32" width="15.28515625" style="17" bestFit="1" customWidth="1"/>
    <col min="33" max="33" width="17.5703125" style="17" bestFit="1" customWidth="1"/>
    <col min="34" max="34" width="17.85546875" style="17" bestFit="1" customWidth="1"/>
    <col min="35" max="35" width="23.85546875" style="17" bestFit="1" customWidth="1"/>
    <col min="36" max="36" width="21" style="17" bestFit="1" customWidth="1"/>
    <col min="37" max="37" width="19.42578125" style="17" bestFit="1" customWidth="1"/>
    <col min="38" max="38" width="19.85546875" style="17" bestFit="1" customWidth="1"/>
    <col min="39" max="39" width="6.7109375" style="17" bestFit="1" customWidth="1"/>
    <col min="40" max="40" width="14.7109375" style="17" bestFit="1" customWidth="1"/>
    <col min="41" max="41" width="4.85546875" style="17" bestFit="1" customWidth="1"/>
    <col min="42" max="42" width="7.7109375" style="17" bestFit="1" customWidth="1"/>
    <col min="43" max="43" width="10" style="17" bestFit="1" customWidth="1"/>
    <col min="44" max="44" width="18" style="17" bestFit="1" customWidth="1"/>
    <col min="45" max="45" width="47.7109375" style="17" bestFit="1" customWidth="1"/>
    <col min="46" max="46" width="16" style="17" customWidth="1"/>
    <col min="47" max="47" width="11.42578125" style="49" customWidth="1"/>
    <col min="48" max="16384" width="9.140625" style="17"/>
  </cols>
  <sheetData>
    <row r="1" spans="1:48" s="10" customFormat="1" ht="20.25" customHeight="1" x14ac:dyDescent="0.2">
      <c r="A1" s="133" t="s">
        <v>104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4"/>
      <c r="AC1" s="14"/>
      <c r="AD1" s="14"/>
      <c r="AE1" s="14"/>
      <c r="AF1" s="14"/>
      <c r="AG1" s="14"/>
      <c r="AH1" s="14"/>
      <c r="AI1" s="14"/>
      <c r="AJ1" s="14"/>
      <c r="AT1" s="14"/>
      <c r="AU1" s="48"/>
    </row>
    <row r="2" spans="1:48" s="14" customFormat="1" ht="15" x14ac:dyDescent="0.2">
      <c r="C2" s="15"/>
      <c r="D2" s="16"/>
      <c r="AU2" s="48"/>
    </row>
    <row r="3" spans="1:48" s="14" customFormat="1" x14ac:dyDescent="0.2">
      <c r="AU3" s="48"/>
    </row>
    <row r="4" spans="1:48" s="14" customFormat="1" x14ac:dyDescent="0.2">
      <c r="AU4" s="48"/>
    </row>
    <row r="5" spans="1:48" s="14" customFormat="1" x14ac:dyDescent="0.2">
      <c r="AU5" s="48"/>
    </row>
    <row r="6" spans="1:48" s="14" customFormat="1" ht="23.25" customHeight="1" x14ac:dyDescent="0.2">
      <c r="AU6" s="48"/>
    </row>
    <row r="7" spans="1:48" s="16" customFormat="1" ht="30" x14ac:dyDescent="0.2">
      <c r="B7" s="19" t="s">
        <v>0</v>
      </c>
      <c r="C7" s="24" t="s">
        <v>4</v>
      </c>
      <c r="D7" s="24" t="s">
        <v>3</v>
      </c>
      <c r="E7" s="19" t="s">
        <v>5</v>
      </c>
      <c r="F7" s="19" t="s">
        <v>9</v>
      </c>
      <c r="G7" s="24" t="s">
        <v>10</v>
      </c>
      <c r="H7" s="24" t="s">
        <v>11</v>
      </c>
      <c r="I7" s="24" t="s">
        <v>12</v>
      </c>
      <c r="J7" s="24" t="s">
        <v>20</v>
      </c>
      <c r="K7" s="24" t="s">
        <v>6</v>
      </c>
      <c r="L7" s="19" t="s">
        <v>24</v>
      </c>
      <c r="M7" s="24" t="s">
        <v>25</v>
      </c>
      <c r="N7" s="24" t="s">
        <v>62</v>
      </c>
      <c r="O7" s="19" t="s">
        <v>26</v>
      </c>
      <c r="P7" s="19" t="s">
        <v>27</v>
      </c>
      <c r="Q7" s="24" t="s">
        <v>28</v>
      </c>
      <c r="R7" s="19" t="s">
        <v>29</v>
      </c>
      <c r="S7" s="19" t="s">
        <v>30</v>
      </c>
      <c r="T7" s="19" t="s">
        <v>31</v>
      </c>
      <c r="U7" s="24" t="s">
        <v>32</v>
      </c>
      <c r="V7" s="24" t="s">
        <v>33</v>
      </c>
      <c r="W7" s="24" t="s">
        <v>13</v>
      </c>
      <c r="X7" s="19" t="s">
        <v>99</v>
      </c>
      <c r="Y7" s="19" t="s">
        <v>107</v>
      </c>
      <c r="Z7" s="19" t="s">
        <v>100</v>
      </c>
      <c r="AA7" s="19" t="s">
        <v>35</v>
      </c>
      <c r="AB7" s="19" t="s">
        <v>36</v>
      </c>
      <c r="AC7" s="19" t="s">
        <v>37</v>
      </c>
      <c r="AD7" s="19" t="s">
        <v>38</v>
      </c>
      <c r="AE7" s="24" t="s">
        <v>39</v>
      </c>
      <c r="AF7" s="19" t="s">
        <v>40</v>
      </c>
      <c r="AG7" s="19" t="s">
        <v>41</v>
      </c>
      <c r="AH7" s="19" t="s">
        <v>42</v>
      </c>
      <c r="AI7" s="19" t="s">
        <v>43</v>
      </c>
      <c r="AJ7" s="19" t="s">
        <v>6</v>
      </c>
      <c r="AK7" s="19" t="s">
        <v>25</v>
      </c>
      <c r="AL7" s="19" t="s">
        <v>62</v>
      </c>
      <c r="AM7" s="19" t="s">
        <v>26</v>
      </c>
      <c r="AN7" s="19" t="s">
        <v>27</v>
      </c>
      <c r="AO7" s="19" t="s">
        <v>28</v>
      </c>
      <c r="AP7" s="19" t="s">
        <v>29</v>
      </c>
      <c r="AQ7" s="19" t="s">
        <v>30</v>
      </c>
      <c r="AR7" s="19" t="s">
        <v>31</v>
      </c>
      <c r="AS7" s="52" t="s">
        <v>63</v>
      </c>
      <c r="AT7" s="19" t="s">
        <v>101</v>
      </c>
      <c r="AU7" s="25" t="s">
        <v>102</v>
      </c>
      <c r="AV7" s="19" t="s">
        <v>108</v>
      </c>
    </row>
    <row r="8" spans="1:48" ht="30" customHeight="1" x14ac:dyDescent="0.2">
      <c r="B8" s="17" t="s">
        <v>19</v>
      </c>
      <c r="C8" s="11" t="s">
        <v>80</v>
      </c>
      <c r="D8" s="11" t="s">
        <v>81</v>
      </c>
      <c r="E8" s="11" t="s">
        <v>86</v>
      </c>
      <c r="F8" s="11" t="s">
        <v>57</v>
      </c>
      <c r="G8" s="11" t="s">
        <v>79</v>
      </c>
      <c r="H8" s="11" t="s">
        <v>57</v>
      </c>
      <c r="I8" s="11" t="s">
        <v>46</v>
      </c>
      <c r="J8" s="11" t="s">
        <v>82</v>
      </c>
      <c r="K8" s="11" t="s">
        <v>47</v>
      </c>
      <c r="L8" s="11" t="s">
        <v>83</v>
      </c>
      <c r="M8" s="11" t="s">
        <v>48</v>
      </c>
      <c r="N8" s="11" t="s">
        <v>61</v>
      </c>
      <c r="O8" s="11"/>
      <c r="P8" s="11" t="s">
        <v>160</v>
      </c>
      <c r="Q8" s="11" t="s">
        <v>161</v>
      </c>
      <c r="R8" s="11"/>
      <c r="S8" s="11" t="s">
        <v>162</v>
      </c>
      <c r="T8" s="11"/>
      <c r="U8" s="11" t="s">
        <v>67</v>
      </c>
      <c r="V8" s="11" t="s">
        <v>48</v>
      </c>
      <c r="W8" s="11">
        <v>1</v>
      </c>
      <c r="X8" s="11"/>
      <c r="Y8" s="11" t="s">
        <v>164</v>
      </c>
      <c r="Z8" s="11"/>
      <c r="AA8" s="11" t="s">
        <v>165</v>
      </c>
      <c r="AB8" s="11"/>
      <c r="AC8" s="11"/>
      <c r="AD8" s="11"/>
      <c r="AE8" s="11" t="s">
        <v>215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 t="s">
        <v>87</v>
      </c>
      <c r="AU8" s="51">
        <v>20000</v>
      </c>
      <c r="AV8" s="11"/>
    </row>
    <row r="9" spans="1:48" x14ac:dyDescent="0.2">
      <c r="B9" s="17" t="s">
        <v>54</v>
      </c>
      <c r="C9" s="11" t="s">
        <v>89</v>
      </c>
      <c r="D9" s="11" t="s">
        <v>84</v>
      </c>
      <c r="E9" s="11" t="s">
        <v>85</v>
      </c>
      <c r="F9" s="11" t="s">
        <v>158</v>
      </c>
      <c r="G9" s="11" t="s">
        <v>79</v>
      </c>
      <c r="H9" s="11" t="s">
        <v>159</v>
      </c>
      <c r="I9" s="11" t="s">
        <v>88</v>
      </c>
      <c r="J9" s="11" t="s">
        <v>82</v>
      </c>
      <c r="K9" s="11" t="s">
        <v>47</v>
      </c>
      <c r="L9" s="11" t="s">
        <v>83</v>
      </c>
      <c r="M9" s="11" t="s">
        <v>48</v>
      </c>
      <c r="N9" s="11" t="s">
        <v>61</v>
      </c>
      <c r="O9" s="11"/>
      <c r="P9" s="11" t="s">
        <v>177</v>
      </c>
      <c r="Q9" s="11" t="s">
        <v>173</v>
      </c>
      <c r="R9" s="11" t="s">
        <v>155</v>
      </c>
      <c r="S9" s="11" t="s">
        <v>178</v>
      </c>
      <c r="T9" s="11" t="s">
        <v>163</v>
      </c>
      <c r="U9" s="11" t="s">
        <v>176</v>
      </c>
      <c r="V9" s="11" t="s">
        <v>48</v>
      </c>
      <c r="W9" s="11">
        <v>0</v>
      </c>
      <c r="X9" s="11"/>
      <c r="Y9" s="11"/>
      <c r="Z9" s="11"/>
      <c r="AA9" s="11"/>
      <c r="AB9" s="11"/>
      <c r="AC9" s="11" t="s">
        <v>166</v>
      </c>
      <c r="AD9" s="11"/>
      <c r="AE9" s="11" t="s">
        <v>215</v>
      </c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 t="s">
        <v>87</v>
      </c>
      <c r="AU9" s="51">
        <v>20000</v>
      </c>
      <c r="AV9" s="40" t="s">
        <v>167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A1:O1"/>
  </mergeCells>
  <dataValidations disablePrompts="1" count="1">
    <dataValidation type="list" allowBlank="1" showInputMessage="1" sqref="W8:W65536">
      <formula1>sex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1" r:id="rId4" name="CommandButton1">
          <controlPr print="0" autoLine="0" r:id="rId5">
            <anchor moveWithCells="1">
              <from>
                <xdr:col>6</xdr:col>
                <xdr:colOff>0</xdr:colOff>
                <xdr:row>4</xdr:row>
                <xdr:rowOff>161925</xdr:rowOff>
              </from>
              <to>
                <xdr:col>7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4581" r:id="rId4" name="CommandButton1"/>
      </mc:Fallback>
    </mc:AlternateContent>
    <mc:AlternateContent xmlns:mc="http://schemas.openxmlformats.org/markup-compatibility/2006">
      <mc:Choice Requires="x14">
        <control shapeId="24582" r:id="rId6" name="CommandButton2">
          <controlPr print="0" autoLine="0" r:id="rId7">
            <anchor moveWithCells="1">
              <from>
                <xdr:col>31</xdr:col>
                <xdr:colOff>123825</xdr:colOff>
                <xdr:row>4</xdr:row>
                <xdr:rowOff>161925</xdr:rowOff>
              </from>
              <to>
                <xdr:col>31</xdr:col>
                <xdr:colOff>876300</xdr:colOff>
                <xdr:row>6</xdr:row>
                <xdr:rowOff>9525</xdr:rowOff>
              </to>
            </anchor>
          </controlPr>
        </control>
      </mc:Choice>
      <mc:Fallback>
        <control shapeId="24582" r:id="rId6" name="CommandButton2"/>
      </mc:Fallback>
    </mc:AlternateContent>
    <mc:AlternateContent xmlns:mc="http://schemas.openxmlformats.org/markup-compatibility/2006">
      <mc:Choice Requires="x14">
        <control shapeId="24583" r:id="rId8" name="CommandButton3">
          <controlPr print="0" autoLine="0" r:id="rId9">
            <anchor moveWithCells="1">
              <from>
                <xdr:col>30</xdr:col>
                <xdr:colOff>9525</xdr:colOff>
                <xdr:row>5</xdr:row>
                <xdr:rowOff>0</xdr:rowOff>
              </from>
              <to>
                <xdr:col>31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4583" r:id="rId8" name="CommandButton3"/>
      </mc:Fallback>
    </mc:AlternateContent>
    <mc:AlternateContent xmlns:mc="http://schemas.openxmlformats.org/markup-compatibility/2006">
      <mc:Choice Requires="x14">
        <control shapeId="24584" r:id="rId10" name="CopyAddress">
          <controlPr autoLine="0" r:id="rId11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15</xdr:col>
                <xdr:colOff>590550</xdr:colOff>
                <xdr:row>5</xdr:row>
                <xdr:rowOff>285750</xdr:rowOff>
              </to>
            </anchor>
          </controlPr>
        </control>
      </mc:Choice>
      <mc:Fallback>
        <control shapeId="24584" r:id="rId10" name="CopyAddress"/>
      </mc:Fallback>
    </mc:AlternateContent>
    <mc:AlternateContent xmlns:mc="http://schemas.openxmlformats.org/markup-compatibility/2006">
      <mc:Choice Requires="x14">
        <control shapeId="24577" r:id="rId12" name="Button 1">
          <controlPr defaultSize="0" print="0" autoFill="0" autoPict="0" macro="[0]!wsOpenCard2.OpenMPS">
            <anchor moveWithCells="1" sizeWithCells="1">
              <from>
                <xdr:col>0</xdr:col>
                <xdr:colOff>47625</xdr:colOff>
                <xdr:row>1</xdr:row>
                <xdr:rowOff>47625</xdr:rowOff>
              </from>
              <to>
                <xdr:col>4</xdr:col>
                <xdr:colOff>409575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8" r:id="rId13" name="Button 2">
          <controlPr defaultSize="0" print="0" autoFill="0" autoPict="0" macro="[0]!wsOpenCard2.CheckStrLen">
            <anchor moveWithCells="1">
              <from>
                <xdr:col>4</xdr:col>
                <xdr:colOff>409575</xdr:colOff>
                <xdr:row>1</xdr:row>
                <xdr:rowOff>47625</xdr:rowOff>
              </from>
              <to>
                <xdr:col>6</xdr:col>
                <xdr:colOff>333375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79" r:id="rId14" name="Button 3">
          <controlPr defaultSize="0" print="0" autoFill="0" autoPict="0" macro="[0]!wsOpenCard2.PrintForm">
            <anchor moveWithCells="1">
              <from>
                <xdr:col>4</xdr:col>
                <xdr:colOff>409575</xdr:colOff>
                <xdr:row>2</xdr:row>
                <xdr:rowOff>142875</xdr:rowOff>
              </from>
              <to>
                <xdr:col>6</xdr:col>
                <xdr:colOff>352425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80" r:id="rId15" name="Button 4">
          <controlPr defaultSize="0" print="0" autoFill="0" autoPict="0" macro="[0]!wsOpenCard2.LoadDosFile">
            <anchor moveWithCells="1" sizeWithCells="1">
              <from>
                <xdr:col>0</xdr:col>
                <xdr:colOff>47625</xdr:colOff>
                <xdr:row>2</xdr:row>
                <xdr:rowOff>142875</xdr:rowOff>
              </from>
              <to>
                <xdr:col>4</xdr:col>
                <xdr:colOff>400050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00B050"/>
  </sheetPr>
  <dimension ref="A1:CV13"/>
  <sheetViews>
    <sheetView workbookViewId="0">
      <selection activeCell="E15" sqref="E15"/>
    </sheetView>
  </sheetViews>
  <sheetFormatPr defaultColWidth="9.140625" defaultRowHeight="12.75" x14ac:dyDescent="0.2"/>
  <cols>
    <col min="1" max="1" width="4" style="70" customWidth="1"/>
    <col min="2" max="2" width="7.5703125" style="114" customWidth="1"/>
    <col min="3" max="4" width="26.7109375" style="71" customWidth="1"/>
    <col min="5" max="5" width="20" style="72" customWidth="1"/>
    <col min="6" max="6" width="13.5703125" style="69" customWidth="1"/>
    <col min="7" max="7" width="14.7109375" style="127" bestFit="1" customWidth="1"/>
    <col min="8" max="8" width="13.7109375" style="71" bestFit="1" customWidth="1"/>
    <col min="9" max="16384" width="9.140625" style="69"/>
  </cols>
  <sheetData>
    <row r="1" spans="1:100" s="58" customFormat="1" ht="20.25" customHeight="1" x14ac:dyDescent="0.2">
      <c r="A1" s="56"/>
      <c r="B1" s="134" t="s">
        <v>58</v>
      </c>
      <c r="C1" s="134"/>
      <c r="D1" s="134"/>
      <c r="E1" s="134"/>
      <c r="F1" s="134"/>
      <c r="G1" s="134"/>
      <c r="H1" s="61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</row>
    <row r="2" spans="1:100" s="58" customFormat="1" ht="14.25" customHeight="1" x14ac:dyDescent="0.2">
      <c r="A2" s="57"/>
      <c r="B2" s="112"/>
      <c r="C2" s="59"/>
      <c r="D2" s="59"/>
      <c r="E2" s="60"/>
      <c r="F2" s="57"/>
      <c r="G2" s="126"/>
      <c r="H2" s="61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</row>
    <row r="3" spans="1:100" s="58" customFormat="1" ht="21" customHeight="1" x14ac:dyDescent="0.2">
      <c r="A3" s="57"/>
      <c r="B3" s="112"/>
      <c r="F3" s="57"/>
      <c r="G3" s="126"/>
      <c r="H3" s="61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</row>
    <row r="4" spans="1:100" s="58" customFormat="1" x14ac:dyDescent="0.2">
      <c r="A4" s="57"/>
      <c r="B4" s="112"/>
      <c r="F4" s="57"/>
      <c r="G4" s="126"/>
      <c r="H4" s="61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</row>
    <row r="5" spans="1:100" s="58" customFormat="1" ht="25.5" customHeight="1" x14ac:dyDescent="0.2">
      <c r="A5" s="57"/>
      <c r="B5" s="112"/>
      <c r="F5" s="57"/>
      <c r="G5" s="126"/>
      <c r="H5" s="61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</row>
    <row r="6" spans="1:100" s="58" customFormat="1" ht="50.1" customHeight="1" x14ac:dyDescent="0.2">
      <c r="A6" s="57"/>
      <c r="B6" s="112"/>
      <c r="C6" s="59"/>
      <c r="D6" s="59"/>
      <c r="E6" s="60"/>
      <c r="F6" s="57"/>
      <c r="G6" s="126"/>
      <c r="H6" s="61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</row>
    <row r="7" spans="1:100" s="58" customFormat="1" ht="50.1" customHeight="1" x14ac:dyDescent="0.2">
      <c r="A7" s="57"/>
      <c r="B7" s="112"/>
      <c r="C7" s="59"/>
      <c r="D7" s="59"/>
      <c r="E7" s="60"/>
      <c r="F7" s="57"/>
      <c r="G7" s="126"/>
      <c r="H7" s="61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</row>
    <row r="8" spans="1:100" s="58" customFormat="1" x14ac:dyDescent="0.2">
      <c r="A8" s="57"/>
      <c r="B8" s="112"/>
      <c r="C8" s="59"/>
      <c r="D8" s="59"/>
      <c r="E8" s="60"/>
      <c r="F8" s="57"/>
      <c r="G8" s="126"/>
      <c r="H8" s="61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</row>
    <row r="9" spans="1:100" s="58" customFormat="1" x14ac:dyDescent="0.2">
      <c r="A9" s="57"/>
      <c r="B9" s="112"/>
      <c r="C9" s="59"/>
      <c r="D9" s="59"/>
      <c r="E9" s="60"/>
      <c r="F9" s="57"/>
      <c r="G9" s="126"/>
      <c r="H9" s="61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</row>
    <row r="10" spans="1:100" s="59" customFormat="1" ht="26.25" customHeight="1" x14ac:dyDescent="0.2">
      <c r="A10" s="62"/>
      <c r="B10" s="62" t="s">
        <v>0</v>
      </c>
      <c r="C10" s="63" t="s">
        <v>59</v>
      </c>
      <c r="D10" s="63" t="s">
        <v>56</v>
      </c>
      <c r="E10" s="64" t="s">
        <v>2</v>
      </c>
      <c r="F10" s="88" t="s">
        <v>69</v>
      </c>
      <c r="G10" s="111" t="s">
        <v>218</v>
      </c>
      <c r="H10" s="55" t="s">
        <v>219</v>
      </c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</row>
    <row r="11" spans="1:100" ht="26.25" customHeight="1" x14ac:dyDescent="0.2">
      <c r="A11" s="65"/>
      <c r="B11" s="113">
        <v>1</v>
      </c>
      <c r="C11" s="67" t="s">
        <v>57</v>
      </c>
      <c r="D11" s="67" t="s">
        <v>91</v>
      </c>
      <c r="E11" s="68">
        <v>100</v>
      </c>
      <c r="F11" s="67" t="s">
        <v>73</v>
      </c>
      <c r="G11" s="125">
        <v>12</v>
      </c>
      <c r="H11" s="67" t="s">
        <v>221</v>
      </c>
      <c r="I11" s="66"/>
    </row>
    <row r="12" spans="1:100" ht="26.25" customHeight="1" x14ac:dyDescent="0.2">
      <c r="A12" s="65"/>
      <c r="B12" s="113">
        <v>2</v>
      </c>
      <c r="C12" s="67" t="s">
        <v>158</v>
      </c>
      <c r="D12" s="67" t="s">
        <v>168</v>
      </c>
      <c r="E12" s="68">
        <v>200</v>
      </c>
      <c r="F12" s="67" t="s">
        <v>73</v>
      </c>
      <c r="G12" s="125"/>
      <c r="H12" s="67"/>
      <c r="I12" s="66"/>
    </row>
    <row r="13" spans="1:100" x14ac:dyDescent="0.2">
      <c r="B13" s="114" t="s">
        <v>96</v>
      </c>
      <c r="E13" s="72">
        <v>300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G1"/>
  </mergeCells>
  <dataValidations count="2">
    <dataValidation type="list" allowBlank="1" showInputMessage="1" showErrorMessage="1" sqref="F11:F12">
      <formula1>",01,02,03,04,05,10,11,22"</formula1>
    </dataValidation>
    <dataValidation type="list" allowBlank="1" showInputMessage="1" showErrorMessage="1" sqref="H11:H12">
      <formula1>КодВидаДохода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1" r:id="rId4" name="ComboBox2">
          <controlPr defaultSize="0" autoLine="0" listFillRange="System!$G2:$H10" r:id="rId5">
            <anchor moveWithCells="1">
              <from>
                <xdr:col>5</xdr:col>
                <xdr:colOff>733425</xdr:colOff>
                <xdr:row>9</xdr:row>
                <xdr:rowOff>161925</xdr:rowOff>
              </from>
              <to>
                <xdr:col>6</xdr:col>
                <xdr:colOff>19050</xdr:colOff>
                <xdr:row>9</xdr:row>
                <xdr:rowOff>323850</xdr:rowOff>
              </to>
            </anchor>
          </controlPr>
        </control>
      </mc:Choice>
      <mc:Fallback>
        <control shapeId="23561" r:id="rId4" name="ComboBox2"/>
      </mc:Fallback>
    </mc:AlternateContent>
    <mc:AlternateContent xmlns:mc="http://schemas.openxmlformats.org/markup-compatibility/2006">
      <mc:Choice Requires="x14">
        <control shapeId="23562" r:id="rId6" name="LoadPersonal">
          <controlPr defaultSize="0"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3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23562" r:id="rId6" name="LoadPersonal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 macro="[0]!ЭтаКнига.Payroll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4" r:id="rId9" name="Button 2">
          <controlPr defaultSize="0" print="0" autoFill="0" autoPict="0" macro="[0]!ЭтаКнига.InsertRowPayRoll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5" r:id="rId10" name="Button 3">
          <controlPr defaultSize="0" print="0" autoFill="0" autoPict="0" macro="[0]!ЭтаКнига.OpenMPS">
            <anchor moveWithCells="1" siz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6" r:id="rId11" name="Button 4">
          <controlPr defaultSize="0" print="0" autoFill="0" autoPict="0" macro="[0]!ЭтаКнига.InsertOpenMP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7" r:id="rId12" name="Button 5">
          <controlPr defaultSize="0" print="0" autoFill="0" autoPict="0" macro="[0]!Лист11.CheckStrLen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1743075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8" r:id="rId13" name="Button 6">
          <controlPr defaultSize="0" print="0" autoFill="0" autoPict="0" macro="[0]!Лист11.PayrollMPS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1743075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9" r:id="rId14" name="Button 7">
          <controlPr defaultSize="0" print="0" autoFill="0" autoPict="0" macro="[0]!Лист11.LoadDosFile">
            <anchor>
              <from>
                <xdr:col>1</xdr:col>
                <xdr:colOff>9525</xdr:colOff>
                <xdr:row>4</xdr:row>
                <xdr:rowOff>114300</xdr:rowOff>
              </from>
              <to>
                <xdr:col>2</xdr:col>
                <xdr:colOff>1743075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0" r:id="rId15" name="Button 8">
          <controlPr defaultSize="0" print="0" autoFill="0" autoPict="0" macro="[0]!Лист11.PrintForm">
            <anchor>
              <from>
                <xdr:col>1</xdr:col>
                <xdr:colOff>9525</xdr:colOff>
                <xdr:row>5</xdr:row>
                <xdr:rowOff>76200</xdr:rowOff>
              </from>
              <to>
                <xdr:col>2</xdr:col>
                <xdr:colOff>1743075</xdr:colOff>
                <xdr:row>5</xdr:row>
                <xdr:rowOff>361950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50"/>
  </sheetPr>
  <dimension ref="A1:I10"/>
  <sheetViews>
    <sheetView topLeftCell="B1" workbookViewId="0">
      <selection activeCell="H14" sqref="H14"/>
    </sheetView>
  </sheetViews>
  <sheetFormatPr defaultColWidth="8.7109375" defaultRowHeight="12.75" x14ac:dyDescent="0.2"/>
  <cols>
    <col min="1" max="1" width="8.7109375" style="83"/>
    <col min="2" max="2" width="27.7109375" style="73" customWidth="1"/>
    <col min="3" max="3" width="17.7109375" style="73" customWidth="1"/>
    <col min="4" max="4" width="16.42578125" style="73" customWidth="1"/>
    <col min="5" max="5" width="21.42578125" style="74" bestFit="1" customWidth="1"/>
    <col min="6" max="6" width="19.85546875" style="75" customWidth="1"/>
    <col min="7" max="7" width="13" style="75" customWidth="1"/>
    <col min="8" max="8" width="15.5703125" style="109" customWidth="1"/>
    <col min="9" max="9" width="15.5703125" style="107" customWidth="1"/>
    <col min="10" max="16384" width="8.7109375" style="73"/>
  </cols>
  <sheetData>
    <row r="1" spans="1:9" ht="18" x14ac:dyDescent="0.2">
      <c r="B1" s="77" t="s">
        <v>60</v>
      </c>
    </row>
    <row r="2" spans="1:9" x14ac:dyDescent="0.2">
      <c r="B2" s="76"/>
      <c r="C2" s="76"/>
    </row>
    <row r="3" spans="1:9" x14ac:dyDescent="0.2">
      <c r="B3" s="76"/>
      <c r="C3" s="76"/>
    </row>
    <row r="4" spans="1:9" x14ac:dyDescent="0.2">
      <c r="B4" s="76"/>
      <c r="C4" s="76"/>
    </row>
    <row r="6" spans="1:9" ht="72.75" customHeight="1" x14ac:dyDescent="0.2"/>
    <row r="7" spans="1:9" ht="30" customHeight="1" x14ac:dyDescent="0.2">
      <c r="A7" s="85" t="s">
        <v>0</v>
      </c>
      <c r="B7" s="85" t="s">
        <v>4</v>
      </c>
      <c r="C7" s="85" t="s">
        <v>3</v>
      </c>
      <c r="D7" s="85" t="s">
        <v>5</v>
      </c>
      <c r="E7" s="86" t="s">
        <v>55</v>
      </c>
      <c r="F7" s="87" t="s">
        <v>2</v>
      </c>
      <c r="G7" s="88" t="s">
        <v>69</v>
      </c>
      <c r="H7" s="55" t="s">
        <v>218</v>
      </c>
      <c r="I7" s="55" t="s">
        <v>219</v>
      </c>
    </row>
    <row r="8" spans="1:9" x14ac:dyDescent="0.2">
      <c r="A8" s="78">
        <v>1</v>
      </c>
      <c r="B8" s="79" t="s">
        <v>80</v>
      </c>
      <c r="C8" s="79" t="s">
        <v>81</v>
      </c>
      <c r="D8" s="79" t="s">
        <v>86</v>
      </c>
      <c r="E8" s="80" t="s">
        <v>185</v>
      </c>
      <c r="F8" s="81">
        <v>100</v>
      </c>
      <c r="G8" s="82" t="s">
        <v>217</v>
      </c>
      <c r="H8" s="110">
        <v>12</v>
      </c>
      <c r="I8" s="82" t="s">
        <v>21</v>
      </c>
    </row>
    <row r="9" spans="1:9" ht="13.5" customHeight="1" x14ac:dyDescent="0.2">
      <c r="A9" s="83">
        <v>2</v>
      </c>
      <c r="B9" s="79" t="s">
        <v>89</v>
      </c>
      <c r="C9" s="79" t="s">
        <v>84</v>
      </c>
      <c r="D9" s="79" t="s">
        <v>85</v>
      </c>
      <c r="E9" s="80" t="s">
        <v>185</v>
      </c>
      <c r="F9" s="81">
        <v>200</v>
      </c>
      <c r="G9" s="84" t="s">
        <v>73</v>
      </c>
      <c r="I9" s="82"/>
    </row>
    <row r="10" spans="1:9" x14ac:dyDescent="0.2">
      <c r="B10" s="73" t="s">
        <v>96</v>
      </c>
      <c r="F10" s="75">
        <v>300</v>
      </c>
      <c r="G10" s="74"/>
    </row>
  </sheetData>
  <dataConsolidate/>
  <phoneticPr fontId="1" type="noConversion"/>
  <dataValidations count="2">
    <dataValidation type="list" allowBlank="1" showInputMessage="1" showErrorMessage="1" sqref="G8:G10">
      <formula1>",01,02,03,04,05,10,11,22"</formula1>
    </dataValidation>
    <dataValidation type="list" allowBlank="1" showInputMessage="1" showErrorMessage="1" sqref="I8:I9">
      <formula1>КодВидаДохода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26" r:id="rId4" name="LoadPersonal">
          <controlPr defaultSize="0" autoLine="0" r:id="rId5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2</xdr:col>
                <xdr:colOff>66675</xdr:colOff>
                <xdr:row>5</xdr:row>
                <xdr:rowOff>828675</xdr:rowOff>
              </to>
            </anchor>
          </controlPr>
        </control>
      </mc:Choice>
      <mc:Fallback>
        <control shapeId="13326" r:id="rId4" name="LoadPersonal"/>
      </mc:Fallback>
    </mc:AlternateContent>
    <mc:AlternateContent xmlns:mc="http://schemas.openxmlformats.org/markup-compatibility/2006">
      <mc:Choice Requires="x14">
        <control shapeId="13333" r:id="rId6" name="ComboBox2">
          <controlPr defaultSize="0" autoLine="0" listFillRange="System!$G2:$H10" r:id="rId7">
            <anchor moveWithCells="1">
              <from>
                <xdr:col>6</xdr:col>
                <xdr:colOff>676275</xdr:colOff>
                <xdr:row>6</xdr:row>
                <xdr:rowOff>190500</xdr:rowOff>
              </from>
              <to>
                <xdr:col>7</xdr:col>
                <xdr:colOff>0</xdr:colOff>
                <xdr:row>6</xdr:row>
                <xdr:rowOff>352425</xdr:rowOff>
              </to>
            </anchor>
          </controlPr>
        </control>
      </mc:Choice>
      <mc:Fallback>
        <control shapeId="13333" r:id="rId6" name="ComboBox2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Лист8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1866900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9" name="Button 2">
          <controlPr defaultSize="0" print="0" autoFill="0" autoPict="0" macro="[0]!Лист8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1866900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0" name="Button 3">
          <controlPr defaultSize="0" print="0" autoFill="0" autoPict="0" macro="[0]!Лист8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1866900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11" name="Button 4">
          <controlPr defaultSize="0" print="0" autoFill="0" autoPict="0" macro="[0]!Лист8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1866900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rgb="FF00B050"/>
  </sheetPr>
  <dimension ref="A1:I10"/>
  <sheetViews>
    <sheetView workbookViewId="0">
      <selection activeCell="D5" sqref="D5"/>
    </sheetView>
  </sheetViews>
  <sheetFormatPr defaultColWidth="8.7109375" defaultRowHeight="12.75" x14ac:dyDescent="0.2"/>
  <cols>
    <col min="1" max="1" width="8.7109375" style="83"/>
    <col min="2" max="2" width="27.7109375" style="102" customWidth="1"/>
    <col min="3" max="3" width="17.7109375" style="103" customWidth="1"/>
    <col min="4" max="4" width="16.42578125" style="105" customWidth="1"/>
    <col min="5" max="5" width="21.42578125" style="107" bestFit="1" customWidth="1"/>
    <col min="6" max="6" width="19.85546875" style="75" customWidth="1"/>
    <col min="7" max="7" width="13" style="75" customWidth="1"/>
    <col min="8" max="8" width="15.5703125" style="123" customWidth="1"/>
    <col min="9" max="9" width="15.5703125" style="107" customWidth="1"/>
    <col min="10" max="16384" width="8.7109375" style="73"/>
  </cols>
  <sheetData>
    <row r="1" spans="1:9" ht="18" x14ac:dyDescent="0.2">
      <c r="B1" s="100" t="s">
        <v>220</v>
      </c>
    </row>
    <row r="2" spans="1:9" x14ac:dyDescent="0.2">
      <c r="B2" s="101"/>
      <c r="C2" s="104"/>
    </row>
    <row r="3" spans="1:9" x14ac:dyDescent="0.2">
      <c r="B3" s="101"/>
      <c r="C3" s="104"/>
    </row>
    <row r="4" spans="1:9" x14ac:dyDescent="0.2">
      <c r="B4" s="101"/>
      <c r="C4" s="104"/>
    </row>
    <row r="6" spans="1:9" ht="72.75" customHeight="1" x14ac:dyDescent="0.2"/>
    <row r="7" spans="1:9" ht="30" customHeight="1" x14ac:dyDescent="0.2">
      <c r="A7" s="85" t="s">
        <v>0</v>
      </c>
      <c r="B7" s="85" t="s">
        <v>4</v>
      </c>
      <c r="C7" s="85" t="s">
        <v>3</v>
      </c>
      <c r="D7" s="85" t="s">
        <v>5</v>
      </c>
      <c r="E7" s="86" t="s">
        <v>55</v>
      </c>
      <c r="F7" s="87" t="s">
        <v>2</v>
      </c>
      <c r="G7" s="88" t="s">
        <v>69</v>
      </c>
      <c r="H7" s="111" t="s">
        <v>218</v>
      </c>
      <c r="I7" s="122" t="s">
        <v>219</v>
      </c>
    </row>
    <row r="8" spans="1:9" x14ac:dyDescent="0.2">
      <c r="A8" s="79">
        <v>1</v>
      </c>
      <c r="B8" s="101" t="s">
        <v>80</v>
      </c>
      <c r="C8" s="104" t="s">
        <v>81</v>
      </c>
      <c r="D8" s="106" t="s">
        <v>86</v>
      </c>
      <c r="E8" s="108" t="s">
        <v>185</v>
      </c>
      <c r="F8" s="81">
        <v>100</v>
      </c>
      <c r="G8" s="82" t="s">
        <v>73</v>
      </c>
      <c r="H8" s="124">
        <v>12</v>
      </c>
      <c r="I8" s="82" t="s">
        <v>21</v>
      </c>
    </row>
    <row r="9" spans="1:9" ht="13.5" customHeight="1" x14ac:dyDescent="0.2">
      <c r="A9" s="89">
        <v>2</v>
      </c>
      <c r="B9" s="101" t="s">
        <v>89</v>
      </c>
      <c r="C9" s="104" t="s">
        <v>84</v>
      </c>
      <c r="D9" s="106" t="s">
        <v>85</v>
      </c>
      <c r="E9" s="108" t="s">
        <v>185</v>
      </c>
      <c r="F9" s="81">
        <v>200</v>
      </c>
      <c r="G9" s="82" t="s">
        <v>73</v>
      </c>
      <c r="I9" s="82"/>
    </row>
    <row r="10" spans="1:9" x14ac:dyDescent="0.2">
      <c r="B10" s="102" t="s">
        <v>96</v>
      </c>
      <c r="F10" s="75">
        <v>300</v>
      </c>
    </row>
  </sheetData>
  <dataConsolidate/>
  <dataValidations count="2">
    <dataValidation type="list" allowBlank="1" showInputMessage="1" showErrorMessage="1" sqref="G8 G9">
      <formula1>",01,02,03,04,05,10,11,22"</formula1>
    </dataValidation>
    <dataValidation type="list" allowBlank="1" showInputMessage="1" showErrorMessage="1" sqref="I8:I9">
      <formula1>КодВидаДохода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9" r:id="rId4" name="LoadPersonal">
          <controlPr defaultSize="0" autoLine="0" r:id="rId5">
            <anchor moveWithCells="1">
              <from>
                <xdr:col>0</xdr:col>
                <xdr:colOff>228600</xdr:colOff>
                <xdr:row>5</xdr:row>
                <xdr:rowOff>523875</xdr:rowOff>
              </from>
              <to>
                <xdr:col>2</xdr:col>
                <xdr:colOff>76200</xdr:colOff>
                <xdr:row>5</xdr:row>
                <xdr:rowOff>828675</xdr:rowOff>
              </to>
            </anchor>
          </controlPr>
        </control>
      </mc:Choice>
      <mc:Fallback>
        <control shapeId="31749" r:id="rId4" name="LoadPersonal"/>
      </mc:Fallback>
    </mc:AlternateContent>
    <mc:AlternateContent xmlns:mc="http://schemas.openxmlformats.org/markup-compatibility/2006">
      <mc:Choice Requires="x14">
        <control shapeId="31750" r:id="rId6" name="ComboBox2">
          <controlPr defaultSize="0" autoLine="0" listFillRange="System!$G2:$H10" r:id="rId7">
            <anchor moveWithCells="1">
              <from>
                <xdr:col>6</xdr:col>
                <xdr:colOff>695325</xdr:colOff>
                <xdr:row>6</xdr:row>
                <xdr:rowOff>85725</xdr:rowOff>
              </from>
              <to>
                <xdr:col>6</xdr:col>
                <xdr:colOff>847725</xdr:colOff>
                <xdr:row>6</xdr:row>
                <xdr:rowOff>342900</xdr:rowOff>
              </to>
            </anchor>
          </controlPr>
        </control>
      </mc:Choice>
      <mc:Fallback>
        <control shapeId="31750" r:id="rId6" name="ComboBox2"/>
      </mc:Fallback>
    </mc:AlternateContent>
    <mc:AlternateContent xmlns:mc="http://schemas.openxmlformats.org/markup-compatibility/2006">
      <mc:Choice Requires="x14">
        <control shapeId="31745" r:id="rId8" name="Button 1">
          <controlPr defaultSize="0" print="0" autoFill="0" autoPict="0" macro="[0]!Лист14.CheckStrLenFIO">
            <anchor moveWithCells="1">
              <from>
                <xdr:col>0</xdr:col>
                <xdr:colOff>228600</xdr:colOff>
                <xdr:row>1</xdr:row>
                <xdr:rowOff>57150</xdr:rowOff>
              </from>
              <to>
                <xdr:col>1</xdr:col>
                <xdr:colOff>1866900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6" r:id="rId9" name="Button 2">
          <controlPr defaultSize="0" print="0" autoFill="0" autoPict="0" macro="[0]!Лист14.PayrollMPS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1</xdr:col>
                <xdr:colOff>1866900</xdr:colOff>
                <xdr:row>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7" r:id="rId10" name="Button 3">
          <controlPr defaultSize="0" print="0" autoFill="0" autoPict="0" macro="[0]!Лист14.LoadDosFile">
            <anchor moveWithCells="1">
              <from>
                <xdr:col>0</xdr:col>
                <xdr:colOff>228600</xdr:colOff>
                <xdr:row>4</xdr:row>
                <xdr:rowOff>133350</xdr:rowOff>
              </from>
              <to>
                <xdr:col>1</xdr:col>
                <xdr:colOff>1866900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48" r:id="rId11" name="Button 4">
          <controlPr defaultSize="0" print="0" autoFill="0" autoPict="0" macro="[0]!Лист14.PrintForm">
            <anchor moveWithCells="1">
              <from>
                <xdr:col>0</xdr:col>
                <xdr:colOff>228600</xdr:colOff>
                <xdr:row>5</xdr:row>
                <xdr:rowOff>247650</xdr:rowOff>
              </from>
              <to>
                <xdr:col>1</xdr:col>
                <xdr:colOff>1866900</xdr:colOff>
                <xdr:row>5</xdr:row>
                <xdr:rowOff>514350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esLeft"/>
  <dimension ref="A1:CS15"/>
  <sheetViews>
    <sheetView workbookViewId="0">
      <selection activeCell="G26" sqref="G26"/>
    </sheetView>
  </sheetViews>
  <sheetFormatPr defaultColWidth="9.140625" defaultRowHeight="15" x14ac:dyDescent="0.2"/>
  <cols>
    <col min="1" max="1" width="4" style="39" customWidth="1"/>
    <col min="2" max="2" width="7.5703125" style="28" customWidth="1"/>
    <col min="3" max="3" width="26.7109375" style="29" customWidth="1"/>
    <col min="4" max="4" width="14.7109375" style="28" bestFit="1" customWidth="1"/>
    <col min="5" max="5" width="13.7109375" style="28" bestFit="1" customWidth="1"/>
    <col min="6" max="6" width="16.7109375" style="28" customWidth="1"/>
    <col min="7" max="16384" width="9.140625" style="28"/>
  </cols>
  <sheetData>
    <row r="1" spans="1:97" s="26" customFormat="1" ht="20.25" customHeight="1" x14ac:dyDescent="0.2">
      <c r="A1" s="37"/>
      <c r="B1" s="133" t="s">
        <v>103</v>
      </c>
      <c r="C1" s="133"/>
      <c r="D1" s="133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</row>
    <row r="2" spans="1:97" s="26" customFormat="1" ht="14.25" customHeight="1" x14ac:dyDescent="0.2">
      <c r="A2" s="36"/>
      <c r="C2" s="23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</row>
    <row r="3" spans="1:97" s="26" customFormat="1" ht="21" customHeight="1" x14ac:dyDescent="0.2">
      <c r="A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</row>
    <row r="4" spans="1:97" s="26" customFormat="1" x14ac:dyDescent="0.2">
      <c r="A4" s="36"/>
      <c r="D4" s="15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</row>
    <row r="5" spans="1:97" s="26" customFormat="1" ht="25.5" customHeight="1" x14ac:dyDescent="0.2">
      <c r="A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</row>
    <row r="6" spans="1:97" s="26" customFormat="1" ht="50.1" customHeight="1" x14ac:dyDescent="0.2">
      <c r="A6" s="36"/>
      <c r="C6" s="23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</row>
    <row r="7" spans="1:97" s="26" customFormat="1" ht="50.1" customHeight="1" x14ac:dyDescent="0.2">
      <c r="A7" s="36"/>
      <c r="C7" s="23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</row>
    <row r="8" spans="1:97" s="26" customFormat="1" x14ac:dyDescent="0.2">
      <c r="A8" s="36"/>
      <c r="C8" s="23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</row>
    <row r="9" spans="1:97" s="26" customFormat="1" x14ac:dyDescent="0.2">
      <c r="A9" s="36"/>
      <c r="C9" s="23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</row>
    <row r="10" spans="1:97" s="23" customFormat="1" ht="26.25" customHeight="1" x14ac:dyDescent="0.2">
      <c r="A10" s="24"/>
      <c r="B10" s="24" t="s">
        <v>0</v>
      </c>
      <c r="C10" s="19" t="s">
        <v>59</v>
      </c>
      <c r="D10" s="24" t="s">
        <v>4</v>
      </c>
      <c r="E10" s="24" t="s">
        <v>3</v>
      </c>
      <c r="F10" s="24" t="s">
        <v>5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</row>
    <row r="11" spans="1:97" s="23" customFormat="1" ht="26.25" customHeight="1" x14ac:dyDescent="0.2">
      <c r="A11" s="44"/>
      <c r="B11" s="44">
        <v>1</v>
      </c>
      <c r="C11" s="44" t="s">
        <v>57</v>
      </c>
      <c r="D11" s="44" t="s">
        <v>80</v>
      </c>
      <c r="E11" s="44" t="s">
        <v>81</v>
      </c>
      <c r="F11" s="44" t="s">
        <v>86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</row>
    <row r="12" spans="1:97" s="23" customFormat="1" ht="26.25" customHeight="1" x14ac:dyDescent="0.2">
      <c r="A12" s="44"/>
      <c r="B12" s="44">
        <v>2</v>
      </c>
      <c r="C12" s="44" t="s">
        <v>158</v>
      </c>
      <c r="D12" s="44" t="s">
        <v>89</v>
      </c>
      <c r="E12" s="44" t="s">
        <v>84</v>
      </c>
      <c r="F12" s="44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</row>
    <row r="13" spans="1:97" x14ac:dyDescent="0.2">
      <c r="A13" s="38"/>
      <c r="B13" s="27" t="s">
        <v>96</v>
      </c>
      <c r="C13" s="35"/>
      <c r="D13" s="27">
        <v>2</v>
      </c>
      <c r="E13" s="27"/>
      <c r="F13" s="27"/>
    </row>
    <row r="14" spans="1:97" x14ac:dyDescent="0.2">
      <c r="A14" s="38"/>
      <c r="B14" s="27"/>
      <c r="C14" s="35"/>
      <c r="D14" s="27"/>
      <c r="E14" s="27"/>
      <c r="F14" s="27"/>
    </row>
    <row r="15" spans="1:97" x14ac:dyDescent="0.2">
      <c r="A15" s="38"/>
      <c r="B15" s="27"/>
      <c r="C15" s="35"/>
      <c r="D15" s="27"/>
      <c r="E15" s="27"/>
      <c r="F15" s="27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1:D1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ЭтаКнига.Payroll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ЭтаКнига.InsertRowPayRo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ЭтаКнига.OpenMP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ЭтаКнига.InsertOpenMP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wsResLeft.CheckStrLen">
                <anchor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2</xdr:col>
                    <xdr:colOff>1743075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wsResLeft.PayrollMPS">
                <anchor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2</xdr:col>
                    <xdr:colOff>1743075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Button 15">
              <controlPr defaultSize="0" print="0" autoFill="0" autoPict="0" macro="[0]!wsResLeft.PrintForm">
                <anchor>
                  <from>
                    <xdr:col>1</xdr:col>
                    <xdr:colOff>9525</xdr:colOff>
                    <xdr:row>4</xdr:row>
                    <xdr:rowOff>123825</xdr:rowOff>
                  </from>
                  <to>
                    <xdr:col>2</xdr:col>
                    <xdr:colOff>1743075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V32"/>
  <sheetViews>
    <sheetView showGridLines="0" zoomScale="88" workbookViewId="0">
      <selection activeCell="A33" sqref="A33"/>
    </sheetView>
  </sheetViews>
  <sheetFormatPr defaultColWidth="9.140625" defaultRowHeight="15" x14ac:dyDescent="0.2"/>
  <cols>
    <col min="1" max="1" width="158.85546875" style="34" customWidth="1"/>
    <col min="2" max="16384" width="9.140625" style="4"/>
  </cols>
  <sheetData>
    <row r="1" spans="1:100" s="2" customFormat="1" x14ac:dyDescent="0.2">
      <c r="A1" s="30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spans="1:100" s="2" customFormat="1" ht="33.75" customHeight="1" x14ac:dyDescent="0.2">
      <c r="A2" s="31" t="s">
        <v>64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2">
      <c r="A3" s="32" t="s">
        <v>169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</row>
    <row r="4" spans="1:100" x14ac:dyDescent="0.2">
      <c r="A4" s="3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</row>
    <row r="5" spans="1:100" ht="50.1" customHeight="1" x14ac:dyDescent="0.2">
      <c r="A5" s="33" t="s">
        <v>170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50.1" customHeight="1" x14ac:dyDescent="0.2">
      <c r="A6" s="33" t="s">
        <v>179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50.1" customHeight="1" x14ac:dyDescent="0.2">
      <c r="A7" s="33" t="s">
        <v>180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50.1" customHeight="1" x14ac:dyDescent="0.2">
      <c r="A8" s="3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">
      <c r="A9" s="3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">
      <c r="A10" s="33" t="s">
        <v>22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">
      <c r="A11" s="3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">
      <c r="A12" s="33" t="s">
        <v>23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">
      <c r="A13" s="3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">
      <c r="A14" s="3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">
      <c r="A15" s="3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">
      <c r="A16" s="3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">
      <c r="A17" s="3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">
      <c r="A18" s="3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">
      <c r="A19" s="3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">
      <c r="A20" s="33"/>
      <c r="B20" s="3"/>
      <c r="C20" s="3"/>
      <c r="D20" s="3"/>
      <c r="E20" s="3"/>
      <c r="F20" s="3"/>
      <c r="G20" s="3"/>
      <c r="H20" s="3"/>
      <c r="I20" s="3"/>
      <c r="J20" s="3"/>
    </row>
    <row r="21" spans="1:100" x14ac:dyDescent="0.2">
      <c r="A21" s="33"/>
      <c r="B21" s="3"/>
      <c r="C21" s="3"/>
      <c r="D21" s="3"/>
      <c r="E21" s="3"/>
      <c r="F21" s="3"/>
      <c r="G21" s="3"/>
      <c r="H21" s="3"/>
      <c r="I21" s="3"/>
      <c r="J21" s="3"/>
    </row>
    <row r="22" spans="1:100" x14ac:dyDescent="0.2">
      <c r="A22" s="33"/>
      <c r="B22" s="3"/>
      <c r="C22" s="3"/>
      <c r="D22" s="3"/>
      <c r="E22" s="3"/>
      <c r="F22" s="3"/>
      <c r="G22" s="3"/>
      <c r="H22" s="3"/>
      <c r="I22" s="3"/>
      <c r="J22" s="3"/>
    </row>
    <row r="23" spans="1:100" x14ac:dyDescent="0.2">
      <c r="A23" s="33"/>
      <c r="B23" s="3"/>
      <c r="C23" s="3"/>
      <c r="D23" s="3"/>
      <c r="E23" s="3"/>
      <c r="F23" s="3"/>
      <c r="G23" s="3"/>
      <c r="H23" s="3"/>
      <c r="I23" s="3"/>
      <c r="J23" s="3"/>
    </row>
    <row r="24" spans="1:100" x14ac:dyDescent="0.2">
      <c r="A24" s="32"/>
      <c r="B24" s="3"/>
      <c r="C24" s="3"/>
      <c r="D24" s="3"/>
      <c r="E24" s="3"/>
      <c r="F24" s="3"/>
      <c r="G24" s="3"/>
      <c r="H24" s="3"/>
      <c r="I24" s="3"/>
      <c r="J24" s="3"/>
    </row>
    <row r="25" spans="1:100" x14ac:dyDescent="0.2">
      <c r="A25" s="32"/>
      <c r="B25" s="3"/>
      <c r="C25" s="3"/>
      <c r="D25" s="3"/>
      <c r="E25" s="3"/>
      <c r="F25" s="3"/>
      <c r="G25" s="3"/>
      <c r="H25" s="3"/>
      <c r="I25" s="3"/>
      <c r="J25" s="3"/>
    </row>
    <row r="26" spans="1:100" x14ac:dyDescent="0.2">
      <c r="A26" s="32"/>
      <c r="B26" s="3"/>
      <c r="C26" s="3"/>
      <c r="D26" s="3"/>
      <c r="E26" s="3"/>
      <c r="F26" s="3"/>
      <c r="G26" s="3"/>
      <c r="H26" s="3"/>
      <c r="I26" s="3"/>
      <c r="J26" s="3"/>
    </row>
    <row r="27" spans="1:100" x14ac:dyDescent="0.2">
      <c r="A27" s="32"/>
      <c r="B27" s="3"/>
      <c r="C27" s="3"/>
      <c r="D27" s="3"/>
      <c r="E27" s="3"/>
      <c r="F27" s="3"/>
      <c r="G27" s="3"/>
      <c r="H27" s="3"/>
      <c r="I27" s="3"/>
      <c r="J27" s="3"/>
    </row>
    <row r="28" spans="1:100" x14ac:dyDescent="0.2">
      <c r="A28" s="32"/>
      <c r="B28" s="3"/>
      <c r="C28" s="3"/>
      <c r="D28" s="3"/>
      <c r="E28" s="3"/>
      <c r="F28" s="3"/>
      <c r="G28" s="3"/>
      <c r="H28" s="3"/>
      <c r="I28" s="3"/>
      <c r="J28" s="3"/>
    </row>
    <row r="29" spans="1:100" x14ac:dyDescent="0.2">
      <c r="A29" s="32"/>
      <c r="B29" s="3"/>
      <c r="C29" s="3"/>
      <c r="D29" s="3"/>
      <c r="E29" s="3"/>
      <c r="F29" s="3"/>
      <c r="G29" s="3"/>
      <c r="H29" s="3"/>
      <c r="I29" s="3"/>
      <c r="J29" s="3"/>
    </row>
    <row r="30" spans="1:100" x14ac:dyDescent="0.2">
      <c r="A30" s="32"/>
      <c r="B30" s="3"/>
      <c r="C30" s="3"/>
      <c r="D30" s="3"/>
      <c r="E30" s="3"/>
      <c r="F30" s="3"/>
      <c r="G30" s="3"/>
      <c r="H30" s="3"/>
      <c r="I30" s="3"/>
      <c r="J30" s="3"/>
    </row>
    <row r="31" spans="1:100" x14ac:dyDescent="0.2">
      <c r="A31" s="32"/>
      <c r="B31" s="3"/>
      <c r="C31" s="3"/>
      <c r="D31" s="3"/>
      <c r="E31" s="3"/>
      <c r="F31" s="3"/>
      <c r="G31" s="3"/>
      <c r="H31" s="3"/>
      <c r="I31" s="3"/>
      <c r="J31" s="3"/>
    </row>
    <row r="32" spans="1:100" x14ac:dyDescent="0.2">
      <c r="A32" s="32"/>
      <c r="B32" s="3"/>
      <c r="C32" s="3"/>
      <c r="D32" s="3"/>
      <c r="E32" s="3"/>
      <c r="F32" s="3"/>
      <c r="G32" s="3"/>
      <c r="H32" s="3"/>
      <c r="I32" s="3"/>
      <c r="J32" s="3"/>
    </row>
  </sheetData>
  <phoneticPr fontId="1" type="noConversion"/>
  <pageMargins left="0.59055118110236227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73"/>
  <sheetViews>
    <sheetView showGridLines="0" topLeftCell="C1" zoomScaleNormal="100" workbookViewId="0">
      <selection activeCell="A2" sqref="A2:I2"/>
    </sheetView>
  </sheetViews>
  <sheetFormatPr defaultColWidth="9.140625"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5" t="s">
        <v>212</v>
      </c>
      <c r="B1" s="135"/>
      <c r="C1" s="135"/>
      <c r="D1" s="135"/>
      <c r="E1" s="135"/>
      <c r="F1" s="135"/>
      <c r="G1" s="135"/>
      <c r="H1" s="135"/>
      <c r="I1" s="135"/>
      <c r="J1" s="135"/>
      <c r="K1" s="8"/>
      <c r="L1" s="8"/>
      <c r="M1" s="8"/>
      <c r="N1" s="8"/>
      <c r="O1" s="5"/>
    </row>
    <row r="2" spans="1:15" s="7" customFormat="1" ht="35.25" customHeight="1" x14ac:dyDescent="0.2">
      <c r="A2" s="136" t="s">
        <v>64</v>
      </c>
      <c r="B2" s="136"/>
      <c r="C2" s="136"/>
      <c r="D2" s="136"/>
      <c r="E2" s="136"/>
      <c r="F2" s="136"/>
      <c r="G2" s="136"/>
      <c r="H2" s="136"/>
      <c r="I2" s="136"/>
      <c r="J2" s="6"/>
      <c r="K2" s="6"/>
      <c r="L2" s="6"/>
      <c r="M2" s="6"/>
      <c r="N2" s="6"/>
    </row>
    <row r="3" spans="1:15" x14ac:dyDescent="0.2">
      <c r="A3" s="3" t="s">
        <v>210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213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211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214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156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157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honeticPr fontId="1" type="noConversion"/>
  <pageMargins left="0.39370078740157483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O173"/>
  <sheetViews>
    <sheetView showGridLines="0" zoomScaleNormal="100" workbookViewId="0">
      <selection activeCell="E24" sqref="A17:E24"/>
    </sheetView>
  </sheetViews>
  <sheetFormatPr defaultColWidth="9.140625" defaultRowHeight="15" x14ac:dyDescent="0.2"/>
  <cols>
    <col min="1" max="8" width="9.140625" style="4"/>
    <col min="9" max="9" width="16.85546875" style="4" customWidth="1"/>
    <col min="10" max="16384" width="9.140625" style="4"/>
  </cols>
  <sheetData>
    <row r="1" spans="1:15" s="2" customFormat="1" x14ac:dyDescent="0.2">
      <c r="A1" s="135" t="s">
        <v>105</v>
      </c>
      <c r="B1" s="135"/>
      <c r="C1" s="135"/>
      <c r="D1" s="135"/>
      <c r="E1" s="135"/>
      <c r="F1" s="135"/>
      <c r="G1" s="135"/>
      <c r="H1" s="135"/>
      <c r="I1" s="135"/>
      <c r="J1" s="135"/>
      <c r="K1" s="8"/>
      <c r="L1" s="8"/>
      <c r="M1" s="8"/>
      <c r="N1" s="8"/>
      <c r="O1" s="5"/>
    </row>
    <row r="2" spans="1:15" s="7" customFormat="1" ht="35.25" customHeight="1" x14ac:dyDescent="0.2">
      <c r="A2" s="136" t="s">
        <v>64</v>
      </c>
      <c r="B2" s="136"/>
      <c r="C2" s="136"/>
      <c r="D2" s="136"/>
      <c r="E2" s="136"/>
      <c r="F2" s="136"/>
      <c r="G2" s="136"/>
      <c r="H2" s="136"/>
      <c r="I2" s="136"/>
      <c r="J2" s="6"/>
      <c r="K2" s="6"/>
      <c r="L2" s="6"/>
      <c r="M2" s="6"/>
      <c r="N2" s="6"/>
    </row>
    <row r="3" spans="1:15" x14ac:dyDescent="0.2">
      <c r="A3" s="3" t="s">
        <v>169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5" x14ac:dyDescent="0.2">
      <c r="A5" s="3" t="s">
        <v>171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5" x14ac:dyDescent="0.2">
      <c r="A6" s="3" t="s">
        <v>181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5" x14ac:dyDescent="0.2">
      <c r="A7" s="3" t="s">
        <v>182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5" x14ac:dyDescent="0.2">
      <c r="A10" s="3" t="s">
        <v>156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5" x14ac:dyDescent="0.2">
      <c r="A12" s="3" t="s">
        <v>157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</row>
    <row r="101" spans="1:10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</row>
    <row r="102" spans="1:10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</row>
    <row r="103" spans="1:10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</row>
    <row r="104" spans="1:10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</row>
    <row r="105" spans="1:10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</row>
    <row r="107" spans="1:10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</row>
    <row r="108" spans="1:10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</row>
    <row r="109" spans="1:10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</row>
    <row r="110" spans="1:10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</row>
    <row r="111" spans="1:10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</row>
    <row r="112" spans="1:10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</row>
    <row r="114" spans="1:10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</row>
    <row r="115" spans="1:10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</row>
    <row r="116" spans="1:10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</row>
    <row r="117" spans="1:10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</row>
    <row r="118" spans="1:10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</row>
    <row r="119" spans="1:10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</row>
    <row r="120" spans="1:10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</row>
    <row r="121" spans="1:10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</row>
    <row r="122" spans="1:10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</row>
    <row r="123" spans="1:10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</row>
    <row r="124" spans="1:10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</row>
    <row r="125" spans="1:10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</row>
    <row r="126" spans="1:10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</row>
    <row r="127" spans="1:10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</row>
    <row r="128" spans="1:10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</row>
    <row r="129" spans="1:10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</row>
    <row r="130" spans="1:10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</row>
    <row r="131" spans="1:10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</row>
    <row r="133" spans="1:10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</row>
    <row r="134" spans="1:10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</row>
    <row r="135" spans="1:10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</row>
    <row r="136" spans="1:10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</row>
    <row r="137" spans="1:10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</row>
    <row r="138" spans="1:10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</row>
    <row r="139" spans="1:10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</row>
    <row r="140" spans="1:10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</row>
    <row r="141" spans="1:10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</row>
    <row r="142" spans="1:10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</row>
    <row r="143" spans="1:10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</row>
    <row r="144" spans="1:10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</row>
    <row r="145" spans="1:10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</row>
    <row r="146" spans="1:10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</row>
    <row r="147" spans="1:10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</row>
    <row r="148" spans="1:10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</row>
    <row r="149" spans="1:10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</row>
    <row r="150" spans="1:10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</row>
    <row r="151" spans="1:10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</row>
    <row r="152" spans="1:10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</row>
    <row r="153" spans="1:10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</row>
    <row r="154" spans="1:10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</row>
    <row r="155" spans="1:10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</row>
    <row r="156" spans="1:10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</row>
    <row r="157" spans="1:10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</row>
    <row r="158" spans="1:10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</row>
    <row r="160" spans="1:10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</row>
    <row r="161" spans="1:10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</row>
    <row r="162" spans="1:10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</row>
    <row r="163" spans="1:10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</row>
    <row r="164" spans="1:10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</row>
    <row r="165" spans="1:10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</row>
    <row r="166" spans="1:10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</row>
    <row r="167" spans="1:10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</row>
    <row r="168" spans="1:10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</row>
    <row r="169" spans="1:10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</row>
    <row r="170" spans="1:10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</row>
    <row r="171" spans="1:10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</row>
    <row r="172" spans="1:10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</row>
    <row r="173" spans="1:10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</row>
  </sheetData>
  <mergeCells count="2">
    <mergeCell ref="A1:J1"/>
    <mergeCell ref="A2:I2"/>
  </mergeCells>
  <pageMargins left="0.39370078740157483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"/>
  <dimension ref="A1:H21"/>
  <sheetViews>
    <sheetView workbookViewId="0">
      <selection activeCell="C5" sqref="C5"/>
    </sheetView>
  </sheetViews>
  <sheetFormatPr defaultColWidth="9.140625" defaultRowHeight="15" x14ac:dyDescent="0.3"/>
  <cols>
    <col min="1" max="1" width="14.42578125" style="20" bestFit="1" customWidth="1"/>
    <col min="2" max="2" width="9.140625" style="21"/>
    <col min="3" max="3" width="9.42578125" style="21" customWidth="1"/>
    <col min="4" max="4" width="18.7109375" style="43" bestFit="1" customWidth="1"/>
    <col min="5" max="5" width="46.85546875" style="21" bestFit="1" customWidth="1"/>
    <col min="6" max="6" width="9.140625" style="21" customWidth="1"/>
    <col min="7" max="7" width="17.7109375" style="21" customWidth="1"/>
    <col min="8" max="8" width="21.85546875" style="21" customWidth="1"/>
    <col min="9" max="11" width="9.140625" style="21" customWidth="1"/>
    <col min="12" max="16384" width="9.140625" style="21"/>
  </cols>
  <sheetData>
    <row r="1" spans="1:8" x14ac:dyDescent="0.3">
      <c r="A1" s="22" t="s">
        <v>34</v>
      </c>
      <c r="B1" s="22" t="s">
        <v>13</v>
      </c>
      <c r="C1" s="21" t="s">
        <v>223</v>
      </c>
      <c r="D1" s="43" t="s">
        <v>78</v>
      </c>
      <c r="E1" s="21" t="s">
        <v>70</v>
      </c>
      <c r="G1" s="43" t="s">
        <v>78</v>
      </c>
      <c r="H1" s="21" t="s">
        <v>70</v>
      </c>
    </row>
    <row r="2" spans="1:8" x14ac:dyDescent="0.3">
      <c r="A2" s="20" t="s">
        <v>106</v>
      </c>
      <c r="B2" s="20">
        <v>0</v>
      </c>
      <c r="C2" s="43"/>
      <c r="E2" s="21" t="s">
        <v>77</v>
      </c>
      <c r="G2" s="43"/>
      <c r="H2" s="21" t="s">
        <v>77</v>
      </c>
    </row>
    <row r="3" spans="1:8" x14ac:dyDescent="0.3">
      <c r="A3" s="20" t="s">
        <v>44</v>
      </c>
      <c r="B3" s="20">
        <v>1</v>
      </c>
      <c r="C3" s="43" t="s">
        <v>21</v>
      </c>
      <c r="D3" s="43" t="s">
        <v>73</v>
      </c>
      <c r="E3" s="21" t="s">
        <v>71</v>
      </c>
      <c r="G3" s="43" t="s">
        <v>73</v>
      </c>
      <c r="H3" s="21" t="s">
        <v>71</v>
      </c>
    </row>
    <row r="4" spans="1:8" x14ac:dyDescent="0.3">
      <c r="A4" s="20" t="s">
        <v>45</v>
      </c>
      <c r="B4" s="20"/>
      <c r="C4" s="43" t="s">
        <v>221</v>
      </c>
      <c r="D4" s="43" t="s">
        <v>61</v>
      </c>
      <c r="E4" s="21" t="s">
        <v>72</v>
      </c>
      <c r="G4" s="43" t="s">
        <v>61</v>
      </c>
      <c r="H4" s="21" t="s">
        <v>72</v>
      </c>
    </row>
    <row r="5" spans="1:8" x14ac:dyDescent="0.3">
      <c r="B5" s="20"/>
      <c r="C5" s="43" t="s">
        <v>222</v>
      </c>
      <c r="D5" s="43" t="s">
        <v>74</v>
      </c>
      <c r="E5" s="21" t="s">
        <v>183</v>
      </c>
      <c r="G5" s="43" t="s">
        <v>74</v>
      </c>
      <c r="H5" s="21" t="s">
        <v>183</v>
      </c>
    </row>
    <row r="6" spans="1:8" x14ac:dyDescent="0.3">
      <c r="D6" s="43" t="s">
        <v>75</v>
      </c>
      <c r="E6" s="21" t="s">
        <v>97</v>
      </c>
      <c r="G6" s="43" t="s">
        <v>75</v>
      </c>
      <c r="H6" s="21" t="s">
        <v>97</v>
      </c>
    </row>
    <row r="7" spans="1:8" x14ac:dyDescent="0.3">
      <c r="D7" s="43" t="s">
        <v>76</v>
      </c>
      <c r="E7" s="21" t="s">
        <v>98</v>
      </c>
      <c r="G7" s="43" t="s">
        <v>76</v>
      </c>
      <c r="H7" s="21" t="s">
        <v>98</v>
      </c>
    </row>
    <row r="8" spans="1:8" x14ac:dyDescent="0.3">
      <c r="D8" s="43" t="s">
        <v>173</v>
      </c>
      <c r="E8" s="21" t="s">
        <v>174</v>
      </c>
      <c r="G8" s="43" t="s">
        <v>173</v>
      </c>
      <c r="H8" s="21" t="s">
        <v>174</v>
      </c>
    </row>
    <row r="9" spans="1:8" x14ac:dyDescent="0.3">
      <c r="D9" s="43" t="s">
        <v>172</v>
      </c>
      <c r="E9" s="21" t="s">
        <v>175</v>
      </c>
      <c r="G9" s="43" t="s">
        <v>172</v>
      </c>
      <c r="H9" s="21" t="s">
        <v>184</v>
      </c>
    </row>
    <row r="10" spans="1:8" x14ac:dyDescent="0.3">
      <c r="D10" s="43" t="s">
        <v>217</v>
      </c>
      <c r="E10" s="21" t="s">
        <v>216</v>
      </c>
      <c r="G10" s="43">
        <v>22</v>
      </c>
      <c r="H10" s="21" t="s">
        <v>216</v>
      </c>
    </row>
    <row r="13" spans="1:8" x14ac:dyDescent="0.3">
      <c r="E13" s="45"/>
    </row>
    <row r="15" spans="1:8" x14ac:dyDescent="0.3">
      <c r="G15" s="9" t="s">
        <v>196</v>
      </c>
      <c r="H15" s="12" t="s">
        <v>197</v>
      </c>
    </row>
    <row r="16" spans="1:8" x14ac:dyDescent="0.3">
      <c r="G16" s="9" t="s">
        <v>198</v>
      </c>
      <c r="H16" s="12" t="s">
        <v>199</v>
      </c>
    </row>
    <row r="17" spans="7:8" x14ac:dyDescent="0.3">
      <c r="G17" s="9" t="s">
        <v>200</v>
      </c>
      <c r="H17" s="12" t="s">
        <v>201</v>
      </c>
    </row>
    <row r="18" spans="7:8" x14ac:dyDescent="0.3">
      <c r="G18" s="9" t="s">
        <v>202</v>
      </c>
      <c r="H18" s="12" t="s">
        <v>203</v>
      </c>
    </row>
    <row r="19" spans="7:8" x14ac:dyDescent="0.3">
      <c r="G19" s="9" t="s">
        <v>204</v>
      </c>
      <c r="H19" s="12" t="s">
        <v>205</v>
      </c>
    </row>
    <row r="20" spans="7:8" x14ac:dyDescent="0.3">
      <c r="G20" s="9" t="s">
        <v>206</v>
      </c>
      <c r="H20" s="12" t="s">
        <v>207</v>
      </c>
    </row>
    <row r="21" spans="7:8" x14ac:dyDescent="0.3">
      <c r="G21" s="9" t="s">
        <v>208</v>
      </c>
      <c r="H21" s="12" t="s">
        <v>209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K47"/>
  <sheetViews>
    <sheetView topLeftCell="A25" workbookViewId="0">
      <selection activeCell="A30" sqref="A30"/>
    </sheetView>
  </sheetViews>
  <sheetFormatPr defaultRowHeight="12.75" x14ac:dyDescent="0.2"/>
  <cols>
    <col min="2" max="2" width="39" bestFit="1" customWidth="1"/>
    <col min="3" max="3" width="12.140625" bestFit="1" customWidth="1"/>
    <col min="4" max="4" width="12.140625" customWidth="1"/>
    <col min="5" max="5" width="6.28515625" bestFit="1" customWidth="1"/>
    <col min="6" max="6" width="25.7109375" bestFit="1" customWidth="1"/>
    <col min="7" max="7" width="12" bestFit="1" customWidth="1"/>
    <col min="9" max="9" width="29" bestFit="1" customWidth="1"/>
    <col min="10" max="10" width="20.28515625" bestFit="1" customWidth="1"/>
    <col min="11" max="11" width="31" bestFit="1" customWidth="1"/>
  </cols>
  <sheetData>
    <row r="1" spans="1:11" x14ac:dyDescent="0.2">
      <c r="A1" s="50" t="s">
        <v>109</v>
      </c>
      <c r="B1" s="41" t="s">
        <v>110</v>
      </c>
      <c r="C1" s="41" t="s">
        <v>111</v>
      </c>
      <c r="D1" s="41" t="s">
        <v>142</v>
      </c>
      <c r="E1" s="50" t="s">
        <v>112</v>
      </c>
      <c r="F1" s="50" t="s">
        <v>113</v>
      </c>
      <c r="G1" s="41" t="s">
        <v>114</v>
      </c>
      <c r="H1" s="41" t="s">
        <v>136</v>
      </c>
      <c r="I1" s="41" t="s">
        <v>139</v>
      </c>
      <c r="J1" s="41" t="s">
        <v>144</v>
      </c>
      <c r="K1" s="41" t="s">
        <v>146</v>
      </c>
    </row>
    <row r="2" spans="1:11" x14ac:dyDescent="0.2">
      <c r="A2" s="50">
        <v>1</v>
      </c>
      <c r="B2" s="41" t="s">
        <v>4</v>
      </c>
      <c r="C2" s="41" t="s">
        <v>116</v>
      </c>
      <c r="D2" s="41"/>
      <c r="E2" s="50">
        <v>20</v>
      </c>
      <c r="F2" s="50">
        <v>1</v>
      </c>
      <c r="G2" s="41" t="s">
        <v>115</v>
      </c>
      <c r="H2" t="s">
        <v>137</v>
      </c>
    </row>
    <row r="3" spans="1:11" x14ac:dyDescent="0.2">
      <c r="A3" s="50">
        <v>2</v>
      </c>
      <c r="B3" s="41" t="s">
        <v>3</v>
      </c>
      <c r="C3" s="41" t="s">
        <v>116</v>
      </c>
      <c r="D3" s="41"/>
      <c r="E3" s="50">
        <v>20</v>
      </c>
      <c r="F3" s="50">
        <f t="shared" ref="F3:F47" si="0">E2+F2</f>
        <v>21</v>
      </c>
      <c r="G3" s="41" t="s">
        <v>115</v>
      </c>
      <c r="H3" t="s">
        <v>137</v>
      </c>
    </row>
    <row r="4" spans="1:11" x14ac:dyDescent="0.2">
      <c r="A4" s="50">
        <v>3</v>
      </c>
      <c r="B4" s="41" t="s">
        <v>5</v>
      </c>
      <c r="C4" s="41" t="s">
        <v>77</v>
      </c>
      <c r="D4" s="41"/>
      <c r="E4" s="50">
        <v>20</v>
      </c>
      <c r="F4" s="50">
        <f t="shared" si="0"/>
        <v>41</v>
      </c>
      <c r="G4" s="41" t="s">
        <v>115</v>
      </c>
      <c r="H4" t="s">
        <v>137</v>
      </c>
    </row>
    <row r="5" spans="1:11" x14ac:dyDescent="0.2">
      <c r="A5" s="50">
        <v>4</v>
      </c>
      <c r="B5" s="41" t="s">
        <v>59</v>
      </c>
      <c r="C5" s="41" t="s">
        <v>77</v>
      </c>
      <c r="D5" s="41"/>
      <c r="E5" s="50">
        <v>20</v>
      </c>
      <c r="F5" s="50">
        <f t="shared" si="0"/>
        <v>61</v>
      </c>
      <c r="G5" s="41" t="s">
        <v>115</v>
      </c>
      <c r="H5" t="s">
        <v>137</v>
      </c>
    </row>
    <row r="6" spans="1:11" x14ac:dyDescent="0.2">
      <c r="A6" s="50">
        <v>5</v>
      </c>
      <c r="B6" s="41" t="s">
        <v>40</v>
      </c>
      <c r="C6" s="41" t="s">
        <v>116</v>
      </c>
      <c r="D6" s="41"/>
      <c r="E6" s="50">
        <v>3</v>
      </c>
      <c r="F6" s="50">
        <f t="shared" si="0"/>
        <v>81</v>
      </c>
      <c r="G6" s="41" t="s">
        <v>115</v>
      </c>
      <c r="H6" t="s">
        <v>137</v>
      </c>
      <c r="I6" t="s">
        <v>143</v>
      </c>
    </row>
    <row r="7" spans="1:11" x14ac:dyDescent="0.2">
      <c r="A7" s="50">
        <v>6</v>
      </c>
      <c r="B7" s="41" t="s">
        <v>41</v>
      </c>
      <c r="C7" s="41" t="s">
        <v>116</v>
      </c>
      <c r="D7" s="41"/>
      <c r="E7" s="50">
        <v>14</v>
      </c>
      <c r="F7" s="50">
        <f t="shared" si="0"/>
        <v>84</v>
      </c>
      <c r="G7" s="41" t="s">
        <v>115</v>
      </c>
      <c r="H7" t="s">
        <v>137</v>
      </c>
    </row>
    <row r="8" spans="1:11" x14ac:dyDescent="0.2">
      <c r="A8" s="50">
        <v>7</v>
      </c>
      <c r="B8" s="41" t="s">
        <v>42</v>
      </c>
      <c r="C8" s="41" t="s">
        <v>116</v>
      </c>
      <c r="D8" s="41"/>
      <c r="E8" s="50">
        <v>13</v>
      </c>
      <c r="F8" s="50">
        <f t="shared" si="0"/>
        <v>98</v>
      </c>
      <c r="G8" s="41" t="s">
        <v>115</v>
      </c>
      <c r="H8" t="s">
        <v>137</v>
      </c>
    </row>
    <row r="9" spans="1:11" x14ac:dyDescent="0.2">
      <c r="A9" s="50">
        <v>8</v>
      </c>
      <c r="B9" s="41" t="s">
        <v>43</v>
      </c>
      <c r="C9" s="41" t="s">
        <v>116</v>
      </c>
      <c r="D9" s="41"/>
      <c r="E9" s="50">
        <v>10</v>
      </c>
      <c r="F9" s="50">
        <f t="shared" si="0"/>
        <v>111</v>
      </c>
      <c r="G9" s="41" t="s">
        <v>117</v>
      </c>
      <c r="H9" s="41" t="s">
        <v>138</v>
      </c>
    </row>
    <row r="10" spans="1:11" x14ac:dyDescent="0.2">
      <c r="A10" s="50">
        <v>9</v>
      </c>
      <c r="B10" s="41" t="s">
        <v>131</v>
      </c>
      <c r="C10" s="41" t="s">
        <v>116</v>
      </c>
      <c r="D10" s="41"/>
      <c r="E10" s="50">
        <v>80</v>
      </c>
      <c r="F10" s="50">
        <f t="shared" si="0"/>
        <v>121</v>
      </c>
      <c r="G10" s="41" t="s">
        <v>115</v>
      </c>
      <c r="H10" t="s">
        <v>137</v>
      </c>
    </row>
    <row r="11" spans="1:11" x14ac:dyDescent="0.2">
      <c r="A11" s="50">
        <v>10</v>
      </c>
      <c r="B11" s="41" t="s">
        <v>118</v>
      </c>
      <c r="C11" s="41" t="s">
        <v>77</v>
      </c>
      <c r="D11" s="41"/>
      <c r="E11" s="50">
        <v>7</v>
      </c>
      <c r="F11" s="50">
        <f t="shared" si="0"/>
        <v>201</v>
      </c>
      <c r="G11" s="41" t="s">
        <v>115</v>
      </c>
      <c r="H11" t="s">
        <v>137</v>
      </c>
      <c r="K11" t="s">
        <v>147</v>
      </c>
    </row>
    <row r="12" spans="1:11" x14ac:dyDescent="0.2">
      <c r="A12" s="50">
        <v>11</v>
      </c>
      <c r="B12" s="41" t="s">
        <v>25</v>
      </c>
      <c r="C12" s="41" t="s">
        <v>116</v>
      </c>
      <c r="D12" s="41"/>
      <c r="E12" s="50">
        <v>30</v>
      </c>
      <c r="F12" s="50">
        <f t="shared" si="0"/>
        <v>208</v>
      </c>
      <c r="G12" s="41" t="s">
        <v>115</v>
      </c>
      <c r="H12" t="s">
        <v>137</v>
      </c>
    </row>
    <row r="13" spans="1:11" x14ac:dyDescent="0.2">
      <c r="A13" s="50">
        <v>12</v>
      </c>
      <c r="B13" s="41" t="s">
        <v>119</v>
      </c>
      <c r="C13" s="41" t="s">
        <v>116</v>
      </c>
      <c r="D13" s="41"/>
      <c r="E13" s="50">
        <v>2</v>
      </c>
      <c r="F13" s="50">
        <f t="shared" si="0"/>
        <v>238</v>
      </c>
      <c r="G13" s="41" t="s">
        <v>115</v>
      </c>
      <c r="H13" t="s">
        <v>137</v>
      </c>
    </row>
    <row r="14" spans="1:11" x14ac:dyDescent="0.2">
      <c r="A14" s="50">
        <v>13</v>
      </c>
      <c r="B14" s="41" t="s">
        <v>26</v>
      </c>
      <c r="C14" s="41" t="s">
        <v>77</v>
      </c>
      <c r="D14" s="41"/>
      <c r="E14" s="50">
        <v>30</v>
      </c>
      <c r="F14" s="50">
        <f t="shared" si="0"/>
        <v>240</v>
      </c>
      <c r="G14" s="41" t="s">
        <v>115</v>
      </c>
      <c r="H14" t="s">
        <v>137</v>
      </c>
    </row>
    <row r="15" spans="1:11" x14ac:dyDescent="0.2">
      <c r="A15" s="50">
        <v>14</v>
      </c>
      <c r="B15" s="41" t="s">
        <v>27</v>
      </c>
      <c r="C15" s="41" t="s">
        <v>77</v>
      </c>
      <c r="D15" s="41"/>
      <c r="E15" s="50">
        <v>45</v>
      </c>
      <c r="F15" s="50">
        <f t="shared" si="0"/>
        <v>270</v>
      </c>
      <c r="G15" s="41" t="s">
        <v>115</v>
      </c>
      <c r="H15" t="s">
        <v>137</v>
      </c>
    </row>
    <row r="16" spans="1:11" x14ac:dyDescent="0.2">
      <c r="A16" s="50">
        <v>15</v>
      </c>
      <c r="B16" s="41" t="s">
        <v>28</v>
      </c>
      <c r="C16" s="41" t="s">
        <v>116</v>
      </c>
      <c r="D16" s="41"/>
      <c r="E16" s="50">
        <v>5</v>
      </c>
      <c r="F16" s="50">
        <f t="shared" si="0"/>
        <v>315</v>
      </c>
      <c r="G16" s="41" t="s">
        <v>115</v>
      </c>
      <c r="H16" t="s">
        <v>137</v>
      </c>
    </row>
    <row r="17" spans="1:11" x14ac:dyDescent="0.2">
      <c r="A17" s="50">
        <v>16</v>
      </c>
      <c r="B17" s="41" t="s">
        <v>29</v>
      </c>
      <c r="C17" s="41" t="s">
        <v>77</v>
      </c>
      <c r="D17" s="41"/>
      <c r="E17" s="50">
        <v>3</v>
      </c>
      <c r="F17" s="50">
        <f t="shared" si="0"/>
        <v>320</v>
      </c>
      <c r="G17" s="41" t="s">
        <v>115</v>
      </c>
      <c r="H17" t="s">
        <v>137</v>
      </c>
    </row>
    <row r="18" spans="1:11" x14ac:dyDescent="0.2">
      <c r="A18" s="50">
        <v>17</v>
      </c>
      <c r="B18" s="41" t="s">
        <v>30</v>
      </c>
      <c r="C18" s="41" t="s">
        <v>77</v>
      </c>
      <c r="D18" s="41"/>
      <c r="E18" s="50">
        <v>5</v>
      </c>
      <c r="F18" s="50">
        <f t="shared" si="0"/>
        <v>323</v>
      </c>
      <c r="G18" s="41" t="s">
        <v>115</v>
      </c>
      <c r="H18" t="s">
        <v>137</v>
      </c>
    </row>
    <row r="19" spans="1:11" x14ac:dyDescent="0.2">
      <c r="A19" s="50">
        <v>18</v>
      </c>
      <c r="B19" s="41" t="s">
        <v>31</v>
      </c>
      <c r="C19" s="41" t="s">
        <v>77</v>
      </c>
      <c r="D19" s="41"/>
      <c r="E19" s="50">
        <v>6</v>
      </c>
      <c r="F19" s="50">
        <f t="shared" si="0"/>
        <v>328</v>
      </c>
      <c r="G19" s="41" t="s">
        <v>115</v>
      </c>
      <c r="H19" t="s">
        <v>137</v>
      </c>
    </row>
    <row r="20" spans="1:11" x14ac:dyDescent="0.2">
      <c r="A20" s="50">
        <v>19</v>
      </c>
      <c r="B20" s="41" t="s">
        <v>32</v>
      </c>
      <c r="C20" s="41" t="s">
        <v>116</v>
      </c>
      <c r="D20" s="41"/>
      <c r="E20" s="50">
        <v>10</v>
      </c>
      <c r="F20" s="50">
        <f t="shared" si="0"/>
        <v>334</v>
      </c>
      <c r="G20" s="41" t="s">
        <v>117</v>
      </c>
      <c r="H20" s="41" t="s">
        <v>138</v>
      </c>
    </row>
    <row r="21" spans="1:11" x14ac:dyDescent="0.2">
      <c r="A21" s="50">
        <v>20</v>
      </c>
      <c r="B21" s="41" t="s">
        <v>33</v>
      </c>
      <c r="C21" s="41" t="s">
        <v>116</v>
      </c>
      <c r="D21" s="41"/>
      <c r="E21" s="50">
        <v>100</v>
      </c>
      <c r="F21" s="50">
        <f t="shared" si="0"/>
        <v>344</v>
      </c>
      <c r="G21" s="41" t="s">
        <v>115</v>
      </c>
      <c r="H21" t="s">
        <v>137</v>
      </c>
      <c r="I21" t="s">
        <v>186</v>
      </c>
    </row>
    <row r="22" spans="1:11" x14ac:dyDescent="0.2">
      <c r="A22" s="50">
        <v>21</v>
      </c>
      <c r="B22" s="41" t="s">
        <v>132</v>
      </c>
      <c r="C22" s="41" t="s">
        <v>116</v>
      </c>
      <c r="D22" s="41"/>
      <c r="E22" s="50">
        <v>1</v>
      </c>
      <c r="F22" s="50">
        <f t="shared" si="0"/>
        <v>444</v>
      </c>
      <c r="G22" s="41" t="s">
        <v>115</v>
      </c>
      <c r="H22" t="s">
        <v>137</v>
      </c>
      <c r="J22" t="s">
        <v>145</v>
      </c>
    </row>
    <row r="23" spans="1:11" x14ac:dyDescent="0.2">
      <c r="A23" s="50">
        <v>22</v>
      </c>
      <c r="B23" s="41" t="s">
        <v>99</v>
      </c>
      <c r="C23" s="41" t="s">
        <v>77</v>
      </c>
      <c r="D23" s="41"/>
      <c r="E23" s="50">
        <v>11</v>
      </c>
      <c r="F23" s="50">
        <f t="shared" si="0"/>
        <v>445</v>
      </c>
      <c r="G23" s="41" t="s">
        <v>120</v>
      </c>
      <c r="H23" t="s">
        <v>137</v>
      </c>
      <c r="I23" t="s">
        <v>140</v>
      </c>
    </row>
    <row r="24" spans="1:11" x14ac:dyDescent="0.2">
      <c r="A24" s="50">
        <v>23</v>
      </c>
      <c r="B24" s="41" t="s">
        <v>107</v>
      </c>
      <c r="C24" s="41" t="s">
        <v>77</v>
      </c>
      <c r="D24" s="41"/>
      <c r="E24" s="50">
        <v>10</v>
      </c>
      <c r="F24" s="50">
        <f t="shared" si="0"/>
        <v>456</v>
      </c>
      <c r="G24" s="41" t="s">
        <v>121</v>
      </c>
      <c r="H24" t="s">
        <v>137</v>
      </c>
      <c r="I24" t="s">
        <v>141</v>
      </c>
    </row>
    <row r="25" spans="1:11" x14ac:dyDescent="0.2">
      <c r="A25" s="50">
        <v>24</v>
      </c>
      <c r="B25" s="41" t="s">
        <v>100</v>
      </c>
      <c r="C25" s="41" t="s">
        <v>77</v>
      </c>
      <c r="D25" s="41"/>
      <c r="E25" s="50">
        <v>10</v>
      </c>
      <c r="F25" s="50">
        <f t="shared" si="0"/>
        <v>466</v>
      </c>
      <c r="G25" s="41" t="s">
        <v>121</v>
      </c>
      <c r="H25" t="s">
        <v>137</v>
      </c>
      <c r="I25" t="s">
        <v>141</v>
      </c>
    </row>
    <row r="26" spans="1:11" x14ac:dyDescent="0.2">
      <c r="A26" s="50">
        <v>25</v>
      </c>
      <c r="B26" s="41" t="s">
        <v>133</v>
      </c>
      <c r="C26" s="41" t="s">
        <v>77</v>
      </c>
      <c r="D26" s="41"/>
      <c r="E26" s="50">
        <v>12</v>
      </c>
      <c r="F26" s="50">
        <f t="shared" si="0"/>
        <v>476</v>
      </c>
      <c r="G26" s="41" t="s">
        <v>115</v>
      </c>
      <c r="H26" t="s">
        <v>137</v>
      </c>
    </row>
    <row r="27" spans="1:11" x14ac:dyDescent="0.2">
      <c r="A27" s="50">
        <v>26</v>
      </c>
      <c r="B27" s="41" t="s">
        <v>134</v>
      </c>
      <c r="C27" s="41" t="s">
        <v>77</v>
      </c>
      <c r="D27" s="41"/>
      <c r="E27" s="50">
        <v>22</v>
      </c>
      <c r="F27" s="50">
        <f t="shared" si="0"/>
        <v>488</v>
      </c>
      <c r="G27" s="41" t="s">
        <v>115</v>
      </c>
      <c r="H27" t="s">
        <v>137</v>
      </c>
    </row>
    <row r="28" spans="1:11" x14ac:dyDescent="0.2">
      <c r="A28" s="50">
        <v>27</v>
      </c>
      <c r="B28" s="41" t="s">
        <v>37</v>
      </c>
      <c r="C28" s="41" t="s">
        <v>77</v>
      </c>
      <c r="D28" s="41"/>
      <c r="E28" s="50">
        <v>20</v>
      </c>
      <c r="F28" s="50">
        <f t="shared" si="0"/>
        <v>510</v>
      </c>
      <c r="G28" s="41" t="s">
        <v>115</v>
      </c>
      <c r="H28" t="s">
        <v>137</v>
      </c>
    </row>
    <row r="29" spans="1:11" x14ac:dyDescent="0.2">
      <c r="A29" s="50">
        <v>28</v>
      </c>
      <c r="B29" s="41" t="s">
        <v>24</v>
      </c>
      <c r="C29" s="41" t="s">
        <v>77</v>
      </c>
      <c r="D29" s="41"/>
      <c r="E29" s="50">
        <v>4</v>
      </c>
      <c r="F29" s="50">
        <f t="shared" si="0"/>
        <v>530</v>
      </c>
      <c r="G29" s="41" t="s">
        <v>115</v>
      </c>
      <c r="H29" t="s">
        <v>137</v>
      </c>
    </row>
    <row r="30" spans="1:11" x14ac:dyDescent="0.2">
      <c r="A30" s="50">
        <v>29</v>
      </c>
      <c r="B30" s="41" t="s">
        <v>39</v>
      </c>
      <c r="C30" s="41" t="s">
        <v>116</v>
      </c>
      <c r="D30" s="41"/>
      <c r="E30" s="50">
        <v>4</v>
      </c>
      <c r="F30" s="50">
        <f t="shared" si="0"/>
        <v>534</v>
      </c>
      <c r="G30" s="41" t="s">
        <v>115</v>
      </c>
      <c r="H30" t="s">
        <v>137</v>
      </c>
    </row>
    <row r="31" spans="1:11" x14ac:dyDescent="0.2">
      <c r="A31" s="50">
        <v>30</v>
      </c>
      <c r="B31" s="41" t="s">
        <v>122</v>
      </c>
      <c r="C31" s="41" t="s">
        <v>77</v>
      </c>
      <c r="D31" s="41"/>
      <c r="E31" s="50">
        <v>3</v>
      </c>
      <c r="F31" s="50">
        <f t="shared" si="0"/>
        <v>538</v>
      </c>
      <c r="G31" s="41" t="s">
        <v>115</v>
      </c>
      <c r="H31" t="s">
        <v>137</v>
      </c>
      <c r="K31" t="s">
        <v>148</v>
      </c>
    </row>
    <row r="32" spans="1:11" x14ac:dyDescent="0.2">
      <c r="A32" s="50">
        <v>31</v>
      </c>
      <c r="B32" s="41" t="s">
        <v>123</v>
      </c>
      <c r="C32" s="41" t="s">
        <v>77</v>
      </c>
      <c r="D32" s="41"/>
      <c r="E32" s="50">
        <v>14</v>
      </c>
      <c r="F32" s="50">
        <f t="shared" si="0"/>
        <v>541</v>
      </c>
      <c r="G32" s="41" t="s">
        <v>115</v>
      </c>
      <c r="H32" t="s">
        <v>137</v>
      </c>
      <c r="K32" t="s">
        <v>149</v>
      </c>
    </row>
    <row r="33" spans="1:11" x14ac:dyDescent="0.2">
      <c r="A33" s="50">
        <v>32</v>
      </c>
      <c r="B33" s="41" t="s">
        <v>124</v>
      </c>
      <c r="C33" s="41" t="s">
        <v>77</v>
      </c>
      <c r="D33" s="41"/>
      <c r="E33" s="50">
        <v>13</v>
      </c>
      <c r="F33" s="50">
        <f t="shared" si="0"/>
        <v>555</v>
      </c>
      <c r="G33" s="41" t="s">
        <v>115</v>
      </c>
      <c r="H33" t="s">
        <v>137</v>
      </c>
      <c r="K33" t="s">
        <v>150</v>
      </c>
    </row>
    <row r="34" spans="1:11" x14ac:dyDescent="0.2">
      <c r="A34" s="50">
        <v>33</v>
      </c>
      <c r="B34" s="41" t="s">
        <v>125</v>
      </c>
      <c r="C34" s="41" t="s">
        <v>77</v>
      </c>
      <c r="D34" s="41"/>
      <c r="E34" s="50">
        <v>10</v>
      </c>
      <c r="F34" s="50">
        <f t="shared" si="0"/>
        <v>568</v>
      </c>
      <c r="G34" s="41" t="s">
        <v>117</v>
      </c>
      <c r="H34" s="41" t="s">
        <v>138</v>
      </c>
      <c r="K34" t="s">
        <v>151</v>
      </c>
    </row>
    <row r="35" spans="1:11" x14ac:dyDescent="0.2">
      <c r="A35" s="50">
        <v>34</v>
      </c>
      <c r="B35" s="41" t="s">
        <v>126</v>
      </c>
      <c r="C35" s="41" t="s">
        <v>77</v>
      </c>
      <c r="D35" s="41"/>
      <c r="E35" s="50">
        <v>34</v>
      </c>
      <c r="F35" s="50">
        <f t="shared" si="0"/>
        <v>578</v>
      </c>
      <c r="G35" s="41" t="s">
        <v>115</v>
      </c>
      <c r="H35" t="s">
        <v>137</v>
      </c>
      <c r="K35" t="s">
        <v>152</v>
      </c>
    </row>
    <row r="36" spans="1:11" x14ac:dyDescent="0.2">
      <c r="A36" s="50">
        <v>35</v>
      </c>
      <c r="B36" s="41" t="s">
        <v>127</v>
      </c>
      <c r="C36" s="41" t="s">
        <v>77</v>
      </c>
      <c r="D36" s="41"/>
      <c r="E36" s="50">
        <v>30</v>
      </c>
      <c r="F36" s="50">
        <f t="shared" si="0"/>
        <v>612</v>
      </c>
      <c r="G36" s="41" t="s">
        <v>115</v>
      </c>
      <c r="H36" t="s">
        <v>137</v>
      </c>
      <c r="K36" t="s">
        <v>153</v>
      </c>
    </row>
    <row r="37" spans="1:11" x14ac:dyDescent="0.2">
      <c r="A37" s="50">
        <v>36</v>
      </c>
      <c r="B37" s="41" t="s">
        <v>128</v>
      </c>
      <c r="C37" s="41" t="s">
        <v>77</v>
      </c>
      <c r="D37" s="41"/>
      <c r="E37" s="50">
        <v>2</v>
      </c>
      <c r="F37" s="50">
        <f t="shared" si="0"/>
        <v>642</v>
      </c>
      <c r="G37" s="41" t="s">
        <v>115</v>
      </c>
      <c r="H37" t="s">
        <v>137</v>
      </c>
      <c r="K37" t="s">
        <v>153</v>
      </c>
    </row>
    <row r="38" spans="1:11" x14ac:dyDescent="0.2">
      <c r="A38" s="50">
        <v>37</v>
      </c>
      <c r="B38" s="41" t="s">
        <v>49</v>
      </c>
      <c r="C38" s="41" t="s">
        <v>77</v>
      </c>
      <c r="D38" s="41"/>
      <c r="E38" s="50">
        <v>30</v>
      </c>
      <c r="F38" s="50">
        <f t="shared" si="0"/>
        <v>644</v>
      </c>
      <c r="G38" s="41" t="s">
        <v>115</v>
      </c>
      <c r="H38" t="s">
        <v>137</v>
      </c>
      <c r="K38" t="s">
        <v>153</v>
      </c>
    </row>
    <row r="39" spans="1:11" x14ac:dyDescent="0.2">
      <c r="A39" s="50">
        <v>38</v>
      </c>
      <c r="B39" s="41" t="s">
        <v>50</v>
      </c>
      <c r="C39" s="41" t="s">
        <v>77</v>
      </c>
      <c r="D39" s="41"/>
      <c r="E39" s="50">
        <v>45</v>
      </c>
      <c r="F39" s="50">
        <f t="shared" si="0"/>
        <v>674</v>
      </c>
      <c r="G39" s="41" t="s">
        <v>115</v>
      </c>
      <c r="H39" t="s">
        <v>137</v>
      </c>
      <c r="K39" t="s">
        <v>153</v>
      </c>
    </row>
    <row r="40" spans="1:11" x14ac:dyDescent="0.2">
      <c r="A40" s="50">
        <v>39</v>
      </c>
      <c r="B40" s="41" t="s">
        <v>51</v>
      </c>
      <c r="C40" s="41" t="s">
        <v>77</v>
      </c>
      <c r="D40" s="41"/>
      <c r="E40" s="50">
        <v>5</v>
      </c>
      <c r="F40" s="50">
        <f t="shared" si="0"/>
        <v>719</v>
      </c>
      <c r="G40" s="41" t="s">
        <v>115</v>
      </c>
      <c r="H40" t="s">
        <v>137</v>
      </c>
      <c r="K40" t="s">
        <v>153</v>
      </c>
    </row>
    <row r="41" spans="1:11" x14ac:dyDescent="0.2">
      <c r="A41" s="50">
        <v>40</v>
      </c>
      <c r="B41" s="41" t="s">
        <v>52</v>
      </c>
      <c r="C41" s="41" t="s">
        <v>77</v>
      </c>
      <c r="D41" s="41"/>
      <c r="E41" s="50">
        <v>3</v>
      </c>
      <c r="F41" s="50">
        <f t="shared" si="0"/>
        <v>724</v>
      </c>
      <c r="G41" s="41" t="s">
        <v>115</v>
      </c>
      <c r="H41" t="s">
        <v>137</v>
      </c>
      <c r="K41" t="s">
        <v>153</v>
      </c>
    </row>
    <row r="42" spans="1:11" x14ac:dyDescent="0.2">
      <c r="A42" s="50">
        <v>41</v>
      </c>
      <c r="B42" s="41" t="s">
        <v>53</v>
      </c>
      <c r="C42" s="41" t="s">
        <v>77</v>
      </c>
      <c r="D42" s="41"/>
      <c r="E42" s="50">
        <v>5</v>
      </c>
      <c r="F42" s="50">
        <f t="shared" si="0"/>
        <v>727</v>
      </c>
      <c r="G42" s="41" t="s">
        <v>115</v>
      </c>
      <c r="H42" t="s">
        <v>137</v>
      </c>
      <c r="K42" t="s">
        <v>153</v>
      </c>
    </row>
    <row r="43" spans="1:11" x14ac:dyDescent="0.2">
      <c r="A43" s="50">
        <v>42</v>
      </c>
      <c r="B43" s="41" t="s">
        <v>129</v>
      </c>
      <c r="C43" s="41" t="s">
        <v>77</v>
      </c>
      <c r="D43" s="41"/>
      <c r="E43" s="50">
        <v>6</v>
      </c>
      <c r="F43" s="50">
        <f t="shared" si="0"/>
        <v>732</v>
      </c>
      <c r="G43" s="41" t="s">
        <v>115</v>
      </c>
      <c r="H43" t="s">
        <v>137</v>
      </c>
      <c r="K43" t="s">
        <v>153</v>
      </c>
    </row>
    <row r="44" spans="1:11" x14ac:dyDescent="0.2">
      <c r="A44" s="50">
        <v>43</v>
      </c>
      <c r="B44" s="41" t="s">
        <v>130</v>
      </c>
      <c r="C44" s="41" t="s">
        <v>77</v>
      </c>
      <c r="D44" s="41" t="s">
        <v>90</v>
      </c>
      <c r="E44" s="50">
        <v>10</v>
      </c>
      <c r="F44" s="50">
        <f t="shared" si="0"/>
        <v>738</v>
      </c>
      <c r="G44" s="41" t="s">
        <v>115</v>
      </c>
      <c r="H44" t="s">
        <v>137</v>
      </c>
      <c r="K44" t="s">
        <v>154</v>
      </c>
    </row>
    <row r="45" spans="1:11" x14ac:dyDescent="0.2">
      <c r="A45" s="50">
        <v>44</v>
      </c>
      <c r="B45" s="41" t="s">
        <v>135</v>
      </c>
      <c r="C45" s="41" t="s">
        <v>77</v>
      </c>
      <c r="D45" s="41"/>
      <c r="E45" s="50">
        <v>10</v>
      </c>
      <c r="F45" s="50">
        <f t="shared" si="0"/>
        <v>748</v>
      </c>
      <c r="G45" s="41" t="s">
        <v>117</v>
      </c>
      <c r="H45" s="41" t="s">
        <v>138</v>
      </c>
    </row>
    <row r="46" spans="1:11" x14ac:dyDescent="0.2">
      <c r="A46" s="50">
        <v>45</v>
      </c>
      <c r="B46" s="41" t="s">
        <v>102</v>
      </c>
      <c r="C46" s="41" t="s">
        <v>77</v>
      </c>
      <c r="D46" s="41"/>
      <c r="E46" s="50">
        <v>10</v>
      </c>
      <c r="F46" s="50">
        <f t="shared" si="0"/>
        <v>758</v>
      </c>
      <c r="G46" s="41" t="s">
        <v>115</v>
      </c>
      <c r="H46" t="s">
        <v>2</v>
      </c>
    </row>
    <row r="47" spans="1:11" x14ac:dyDescent="0.2">
      <c r="A47" s="50">
        <v>46</v>
      </c>
      <c r="B47" s="41" t="s">
        <v>108</v>
      </c>
      <c r="C47" s="41" t="s">
        <v>77</v>
      </c>
      <c r="D47" s="41"/>
      <c r="E47" s="50">
        <v>50</v>
      </c>
      <c r="F47" s="50">
        <f t="shared" si="0"/>
        <v>768</v>
      </c>
      <c r="G47" s="41" t="s">
        <v>115</v>
      </c>
      <c r="H47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5</vt:i4>
      </vt:variant>
    </vt:vector>
  </HeadingPairs>
  <TitlesOfParts>
    <vt:vector size="18" baseType="lpstr">
      <vt:lpstr>Сотрудники организации</vt:lpstr>
      <vt:lpstr>Справка</vt:lpstr>
      <vt:lpstr>Реквизиты</vt:lpstr>
      <vt:lpstr>Откр карт 05.2017</vt:lpstr>
      <vt:lpstr>Зачисление  2016.10</vt:lpstr>
      <vt:lpstr>Зачисление по карточкам (ФИО)</vt:lpstr>
      <vt:lpstr>Реестр-Распоряжение</vt:lpstr>
      <vt:lpstr>Увольнение</vt:lpstr>
      <vt:lpstr>Печ.форма(Откр)</vt:lpstr>
      <vt:lpstr>Печ.форма(Зачисл)</vt:lpstr>
      <vt:lpstr>Печ.форма(Увольнение)</vt:lpstr>
      <vt:lpstr>System</vt:lpstr>
      <vt:lpstr>Откр карт 05.2017(формат)</vt:lpstr>
      <vt:lpstr>filials</vt:lpstr>
      <vt:lpstr>sex</vt:lpstr>
      <vt:lpstr>type_tel</vt:lpstr>
      <vt:lpstr>КодВидаДохода</vt:lpstr>
      <vt:lpstr>ФИЛИАЛ_ПАО__БАНК_УРАЛСИБ__В_Г._СТАВРОПОЛЬ</vt:lpstr>
    </vt:vector>
  </TitlesOfParts>
  <Company>ОАО "УралСиб"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Сотрудник</dc:creator>
  <cp:lastModifiedBy>Сабиров Айрат Зяудатович</cp:lastModifiedBy>
  <cp:lastPrinted>2007-02-01T10:12:00Z</cp:lastPrinted>
  <dcterms:created xsi:type="dcterms:W3CDTF">2005-10-19T07:58:58Z</dcterms:created>
  <dcterms:modified xsi:type="dcterms:W3CDTF">2020-09-24T10:37:37Z</dcterms:modified>
</cp:coreProperties>
</file>